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BD759D48-0C1E-49AE-8511-244019212D1A}" xr6:coauthVersionLast="47" xr6:coauthVersionMax="47" xr10:uidLastSave="{00000000-0000-0000-0000-000000000000}"/>
  <bookViews>
    <workbookView xWindow="42195" yWindow="4905" windowWidth="17280" windowHeight="9420" xr2:uid="{00000000-000D-0000-FFFF-FFFF00000000}"/>
  </bookViews>
  <sheets>
    <sheet name="Dashboard" sheetId="1" r:id="rId1"/>
    <sheet name="Roadmap" sheetId="2" r:id="rId2"/>
    <sheet name="Skill Matrix" sheetId="3" r:id="rId3"/>
    <sheet name="Certifications" sheetId="4" r:id="rId4"/>
    <sheet name="Projects" sheetId="5" r:id="rId5"/>
    <sheet name="Weekly Tracker" sheetId="6" r:id="rId6"/>
    <sheet name="Lists" sheetId="7" r:id="rId7"/>
    <sheet name="12-Month Starter" sheetId="8" r:id="rId8"/>
    <sheet name="GitHub Portfolio" sheetId="9" r:id="rId9"/>
    <sheet name="Resources" sheetId="10" r:id="rId10"/>
    <sheet name="Microsoft Track" sheetId="11" r:id="rId11"/>
    <sheet name="My Certifications" sheetId="12" r:id="rId12"/>
    <sheet name="Scripting &amp; Dev" sheetId="13" r:id="rId13"/>
    <sheet name="Beyond 25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2" l="1"/>
  <c r="N6" i="12"/>
  <c r="N5" i="12"/>
  <c r="N4" i="12"/>
  <c r="N3" i="12"/>
  <c r="F5" i="11"/>
  <c r="E5" i="11"/>
  <c r="D5" i="11"/>
  <c r="B5" i="11"/>
  <c r="C5" i="11" s="1"/>
  <c r="A5" i="11"/>
  <c r="H5" i="8"/>
  <c r="G5" i="8"/>
  <c r="F5" i="8"/>
  <c r="E5" i="8"/>
  <c r="D5" i="8"/>
  <c r="B5" i="8"/>
  <c r="C5" i="8" s="1"/>
  <c r="A5" i="8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E8" i="1" s="1"/>
  <c r="E9" i="1" s="1"/>
  <c r="E10" i="1" s="1"/>
  <c r="J28" i="1"/>
  <c r="L27" i="1"/>
  <c r="K27" i="1"/>
  <c r="I27" i="1"/>
  <c r="H27" i="1"/>
  <c r="J27" i="1" s="1"/>
  <c r="J9" i="1"/>
  <c r="I9" i="1"/>
  <c r="K9" i="1" s="1"/>
  <c r="L9" i="1" s="1"/>
  <c r="J8" i="1"/>
  <c r="K8" i="1" s="1"/>
  <c r="L8" i="1" s="1"/>
  <c r="I8" i="1"/>
  <c r="K7" i="1"/>
  <c r="L7" i="1" s="1"/>
  <c r="J7" i="1"/>
  <c r="I7" i="1"/>
  <c r="J6" i="1"/>
  <c r="I6" i="1"/>
  <c r="K6" i="1" s="1"/>
  <c r="L6" i="1" s="1"/>
  <c r="E6" i="1"/>
  <c r="E7" i="1" s="1"/>
  <c r="J5" i="1"/>
  <c r="I5" i="1"/>
  <c r="K5" i="1" s="1"/>
  <c r="L5" i="1" s="1"/>
</calcChain>
</file>

<file path=xl/sharedStrings.xml><?xml version="1.0" encoding="utf-8"?>
<sst xmlns="http://schemas.openxmlformats.org/spreadsheetml/2006/main" count="2966" uniqueCount="1517">
  <si>
    <t>PROJECT 25 — CYBERSECURITY COMMAND CENTER</t>
  </si>
  <si>
    <t>PLAYER</t>
  </si>
  <si>
    <t>STAT</t>
  </si>
  <si>
    <t>VALUE</t>
  </si>
  <si>
    <t>MEANING</t>
  </si>
  <si>
    <t>TRACK</t>
  </si>
  <si>
    <t>DONE</t>
  </si>
  <si>
    <t>TOTAL</t>
  </si>
  <si>
    <t>%</t>
  </si>
  <si>
    <t>PROGRESS</t>
  </si>
  <si>
    <t>CURRENT AGE</t>
  </si>
  <si>
    <t>19</t>
  </si>
  <si>
    <t>Roadmap Months</t>
  </si>
  <si>
    <t>Monthly missions</t>
  </si>
  <si>
    <t>Foundation</t>
  </si>
  <si>
    <t>MISSION</t>
  </si>
  <si>
    <t>Blue + Red + Purple Team practitioner by 25</t>
  </si>
  <si>
    <t>Months Done</t>
  </si>
  <si>
    <t>Completed monthly missions</t>
  </si>
  <si>
    <t>Blue Team</t>
  </si>
  <si>
    <t>CURRENT CERT</t>
  </si>
  <si>
    <t>CompTIA A+</t>
  </si>
  <si>
    <t>Overall Progress</t>
  </si>
  <si>
    <t>% roadmap complete</t>
  </si>
  <si>
    <t>Red Team</t>
  </si>
  <si>
    <t>NEXT CERT</t>
  </si>
  <si>
    <t>Network+</t>
  </si>
  <si>
    <t>Total XP</t>
  </si>
  <si>
    <t>Roadmap + project XP</t>
  </si>
  <si>
    <t>Purple Team</t>
  </si>
  <si>
    <t>START</t>
  </si>
  <si>
    <t>September 2026</t>
  </si>
  <si>
    <t>Level</t>
  </si>
  <si>
    <t>Every 500 XP</t>
  </si>
  <si>
    <t>Engineering</t>
  </si>
  <si>
    <t>TARGET</t>
  </si>
  <si>
    <t>October 2031</t>
  </si>
  <si>
    <t>XP to Next Level</t>
  </si>
  <si>
    <t>Remaining to next level</t>
  </si>
  <si>
    <t>CERTIFICATION PIPELINE</t>
  </si>
  <si>
    <t>LEVEL SYSTEM</t>
  </si>
  <si>
    <t>A+</t>
  </si>
  <si>
    <t>COMPLETED</t>
  </si>
  <si>
    <t>XP Band</t>
  </si>
  <si>
    <t>Title</t>
  </si>
  <si>
    <t>Unlock</t>
  </si>
  <si>
    <t>Reward</t>
  </si>
  <si>
    <t>NEXT</t>
  </si>
  <si>
    <t>0–499</t>
  </si>
  <si>
    <t>IT Apprentice</t>
  </si>
  <si>
    <t>Start</t>
  </si>
  <si>
    <t>Build homelab</t>
  </si>
  <si>
    <t>Security+</t>
  </si>
  <si>
    <t>UP NEXT</t>
  </si>
  <si>
    <t>500–999</t>
  </si>
  <si>
    <t>Network Scout</t>
  </si>
  <si>
    <t>500 XP</t>
  </si>
  <si>
    <t>CySA+</t>
  </si>
  <si>
    <t>YEAR 2</t>
  </si>
  <si>
    <t>1,000–1,499</t>
  </si>
  <si>
    <t>Security Rookie</t>
  </si>
  <si>
    <t>1,000 XP</t>
  </si>
  <si>
    <t>SC-200</t>
  </si>
  <si>
    <t>RECOMMENDED</t>
  </si>
  <si>
    <t>1,500–1,999</t>
  </si>
  <si>
    <t>SOC Cadet</t>
  </si>
  <si>
    <t>1,500 XP</t>
  </si>
  <si>
    <t>SIEM Lab</t>
  </si>
  <si>
    <t>OSCP+</t>
  </si>
  <si>
    <t>MAJOR MILESTONE</t>
  </si>
  <si>
    <t>2,000–2,499</t>
  </si>
  <si>
    <t>Threat Hunter</t>
  </si>
  <si>
    <t>2,000 XP</t>
  </si>
  <si>
    <t>2,500–2,999</t>
  </si>
  <si>
    <t>Junior Operator</t>
  </si>
  <si>
    <t>2,500 XP</t>
  </si>
  <si>
    <t>SOC simulation</t>
  </si>
  <si>
    <t>3,000–3,499</t>
  </si>
  <si>
    <t>Red Team Apprentice</t>
  </si>
  <si>
    <t>3,000 XP</t>
  </si>
  <si>
    <t>AD lab</t>
  </si>
  <si>
    <t>3,500–3,999</t>
  </si>
  <si>
    <t>Purple Operator</t>
  </si>
  <si>
    <t>3,500 XP</t>
  </si>
  <si>
    <t>Purple exercise</t>
  </si>
  <si>
    <t>4,000–4,999</t>
  </si>
  <si>
    <t>Security Engineer</t>
  </si>
  <si>
    <t>4,000 XP</t>
  </si>
  <si>
    <t>Automation</t>
  </si>
  <si>
    <t>5,000+</t>
  </si>
  <si>
    <t>Cybersecurity Practitioner</t>
  </si>
  <si>
    <t>5,000 XP</t>
  </si>
  <si>
    <t>Final capstone</t>
  </si>
  <si>
    <t>MICROSOFT / RDP TRACK</t>
  </si>
  <si>
    <t>Metric</t>
  </si>
  <si>
    <t>Done</t>
  </si>
  <si>
    <t>Total</t>
  </si>
  <si>
    <t>Progress</t>
  </si>
  <si>
    <t>XP Earned</t>
  </si>
  <si>
    <t>XP Available</t>
  </si>
  <si>
    <t>HOW TO USE</t>
  </si>
  <si>
    <t>Microsoft Missions</t>
  </si>
  <si>
    <t>Roadmap</t>
  </si>
  <si>
    <t>Set each month's Status to In Progress or Done. Done = 100 XP.</t>
  </si>
  <si>
    <t>Missions</t>
  </si>
  <si>
    <t>Projects</t>
  </si>
  <si>
    <t>When a project is genuinely complete, set Status to Done and add evidence links/notes.</t>
  </si>
  <si>
    <t>Microsoft Certification Priorities</t>
  </si>
  <si>
    <t>Weekly</t>
  </si>
  <si>
    <t>Every Sunday, set one measurable goal for the coming week.</t>
  </si>
  <si>
    <t>SC-900</t>
  </si>
  <si>
    <t>Security / Identity Fundamentals</t>
  </si>
  <si>
    <t>20</t>
  </si>
  <si>
    <t>Target</t>
  </si>
  <si>
    <t>Entra + Defender + Sentinel</t>
  </si>
  <si>
    <t>HIGH</t>
  </si>
  <si>
    <t>Skill Matrix</t>
  </si>
  <si>
    <t>Move skills from Not Started → In Progress → Done as your practical ability improves.</t>
  </si>
  <si>
    <t>SC-300</t>
  </si>
  <si>
    <t>Identity &amp; Access Administrator</t>
  </si>
  <si>
    <t>21–22</t>
  </si>
  <si>
    <t>Entra / Conditional Access / PIM</t>
  </si>
  <si>
    <t>VERY HIGH</t>
  </si>
  <si>
    <t>Dashboard</t>
  </si>
  <si>
    <t>Use XP and progress as motivation—not as a substitute for real technical competence.</t>
  </si>
  <si>
    <t>AZ-104</t>
  </si>
  <si>
    <t>Azure Administrator</t>
  </si>
  <si>
    <t>Azure infrastructure</t>
  </si>
  <si>
    <t>Security Operations Analyst</t>
  </si>
  <si>
    <t>Sentinel / Defender / KQL</t>
  </si>
  <si>
    <t>MD-102</t>
  </si>
  <si>
    <t>Endpoint Administrator</t>
  </si>
  <si>
    <t>22–24</t>
  </si>
  <si>
    <t>Optional</t>
  </si>
  <si>
    <t>Intune / AVD / Windows 365</t>
  </si>
  <si>
    <t>NEW TRACKS ADDED</t>
  </si>
  <si>
    <t>Track</t>
  </si>
  <si>
    <t>Purpose</t>
  </si>
  <si>
    <t>Priority</t>
  </si>
  <si>
    <t>Status</t>
  </si>
  <si>
    <t>PowerShell &amp; Bash</t>
  </si>
  <si>
    <t>Windows/Linux administration, automation, investigation</t>
  </si>
  <si>
    <t>Now</t>
  </si>
  <si>
    <t>2026–2028</t>
  </si>
  <si>
    <t>Very High</t>
  </si>
  <si>
    <t>Not Started</t>
  </si>
  <si>
    <t>Python Security</t>
  </si>
  <si>
    <t>Security tooling, APIs, parsing, SOC automation</t>
  </si>
  <si>
    <t>2027–2031</t>
  </si>
  <si>
    <t>Git / GitHub</t>
  </si>
  <si>
    <t>Portfolio and professional development workflow</t>
  </si>
  <si>
    <t>2026–2031</t>
  </si>
  <si>
    <t>High</t>
  </si>
  <si>
    <t>In Progress</t>
  </si>
  <si>
    <t>Software Development</t>
  </si>
  <si>
    <t>C# / C++ / Java + software engineering</t>
  </si>
  <si>
    <t>Year 6+</t>
  </si>
  <si>
    <t>2031+</t>
  </si>
  <si>
    <t>Future</t>
  </si>
  <si>
    <t>Planned</t>
  </si>
  <si>
    <t>BEYOND 25 — FUTURE SPECIALISATIONS</t>
  </si>
  <si>
    <t>Next step</t>
  </si>
  <si>
    <t>Advanced Networking / CCNA</t>
  </si>
  <si>
    <t>Deep networking and troubleshooting</t>
  </si>
  <si>
    <t>21–23</t>
  </si>
  <si>
    <t>Network+ first; then CCNA when bandwidth allows</t>
  </si>
  <si>
    <t>Cloud Security</t>
  </si>
  <si>
    <t>Azure/hybrid/cloud security engineering</t>
  </si>
  <si>
    <t>23–25</t>
  </si>
  <si>
    <t>SC-500 + hands-on Azure security</t>
  </si>
  <si>
    <t>Malware Analysis / Reverse Engineering</t>
  </si>
  <si>
    <t>Deep DFIR, binaries, assembly and RE</t>
  </si>
  <si>
    <t>25+ / Year 6</t>
  </si>
  <si>
    <t>Malware analysis first; RE with C/C++ + assembly later</t>
  </si>
  <si>
    <t>Month</t>
  </si>
  <si>
    <t>Age</t>
  </si>
  <si>
    <t>Year</t>
  </si>
  <si>
    <t>Focus</t>
  </si>
  <si>
    <t>Monthly Mission</t>
  </si>
  <si>
    <t>XP</t>
  </si>
  <si>
    <t>Done?</t>
  </si>
  <si>
    <t>Notes</t>
  </si>
  <si>
    <t>2026-09</t>
  </si>
  <si>
    <t>Year 1</t>
  </si>
  <si>
    <t>Network+ / Linux / Git</t>
  </si>
  <si>
    <t>Network+ core; TCP/IP + subnetting; Linux CLI; Windows basics; GitHub setup; start homelab</t>
  </si>
  <si>
    <t>No</t>
  </si>
  <si>
    <t>2026-10</t>
  </si>
  <si>
    <t>Networking + Ethical Hacking</t>
  </si>
  <si>
    <t>Subnetting; DNS/DHCP/VLAN/routing; methodology; Nmap; Bash automation; Wireshark traffic analysis</t>
  </si>
  <si>
    <t>2026-11</t>
  </si>
  <si>
    <t>Security + Windows Logs</t>
  </si>
  <si>
    <t>Security fundamentals; Wireshark; Metasploit concepts in lab; Windows Event Logs; PowerShell investigation</t>
  </si>
  <si>
    <t>2026-12</t>
  </si>
  <si>
    <t>Security+ + Python</t>
  </si>
  <si>
    <t>Security+ prep; Python log parser; Bash/Python automation; first professional technical write-up</t>
  </si>
  <si>
    <t>2027-01</t>
  </si>
  <si>
    <t>Security+ + Web</t>
  </si>
  <si>
    <t>Security+ exam window; HTTP/Burp; SQLi labs; Python port scanner in your own lab</t>
  </si>
  <si>
    <t>2027-02</t>
  </si>
  <si>
    <t>Networking + CCNA</t>
  </si>
  <si>
    <t>CCNA Core + Web</t>
  </si>
  <si>
    <t>CCNA routing/switching foundations; subnetting; VLANs; continue HTTP/Burp and safe web labs</t>
  </si>
  <si>
    <t>2027-03</t>
  </si>
  <si>
    <t>Networking + CCNA + Red/Blue</t>
  </si>
  <si>
    <t>CCNA + HTB + AD + SOC</t>
  </si>
  <si>
    <t>CCNA prep; HTB Pentester path; AD fundamentals; SOC alert triage; CV/LinkedIn security positioning</t>
  </si>
  <si>
    <t>2027-04</t>
  </si>
  <si>
    <t>Networking + Blue</t>
  </si>
  <si>
    <t>CCNA Exam + SIEM/KQL</t>
  </si>
  <si>
    <t>Target CCNA exam when practice scores show readiness; deploy small SIEM lab; Windows log ingestion; KQL fundamentals</t>
  </si>
  <si>
    <t>2027-05</t>
  </si>
  <si>
    <t>Blue + Web</t>
  </si>
  <si>
    <t>Incident Response + Web</t>
  </si>
  <si>
    <t>Phishing-to-compromise IR simulation; PortSwigger lab sprint; IOC enrichment; interview basics</t>
  </si>
  <si>
    <t>2027-06</t>
  </si>
  <si>
    <t>Red + Blue</t>
  </si>
  <si>
    <t>Lab Pentest + Detection</t>
  </si>
  <si>
    <t>Complete authorised lab pentest; write 5 detections; first attack→detect exercise; publish professional report</t>
  </si>
  <si>
    <t>2027-07</t>
  </si>
  <si>
    <t>AD + Threat Hunting</t>
  </si>
  <si>
    <t>Authorised AD lab assessment; BloodHound concepts; threat hunting; publish 2 technical write-ups</t>
  </si>
  <si>
    <t>2027-08</t>
  </si>
  <si>
    <t>Blue + Red</t>
  </si>
  <si>
    <t>DFIR + CTF + Review</t>
  </si>
  <si>
    <t>DFIR basics; beginner CTF; optional scoped bug-bounty practice; annual skills/portfolio review</t>
  </si>
  <si>
    <t>2027-09</t>
  </si>
  <si>
    <t>Year 1 Review</t>
  </si>
  <si>
    <t>Security assessment of own lab; professional report</t>
  </si>
  <si>
    <t>2027-10</t>
  </si>
  <si>
    <t>21</t>
  </si>
  <si>
    <t>Year 2</t>
  </si>
  <si>
    <t>SOC Foundations</t>
  </si>
  <si>
    <t>Windows/Linux logs; Event Viewer; syslog</t>
  </si>
  <si>
    <t>2027-11</t>
  </si>
  <si>
    <t>SIEM</t>
  </si>
  <si>
    <t>Sentinel + Elastic fundamentals</t>
  </si>
  <si>
    <t>2027-12</t>
  </si>
  <si>
    <t>KQL</t>
  </si>
  <si>
    <t>Queries; dashboards; alerting</t>
  </si>
  <si>
    <t>2028-01</t>
  </si>
  <si>
    <t>MITRE ATT&amp;CK</t>
  </si>
  <si>
    <t>Tactics/techniques; attack mapping</t>
  </si>
  <si>
    <t>2028-02</t>
  </si>
  <si>
    <t>SOC</t>
  </si>
  <si>
    <t>Alert triage; phishing; suspicious logons</t>
  </si>
  <si>
    <t>2028-03</t>
  </si>
  <si>
    <t>Threat Hunting</t>
  </si>
  <si>
    <t>Hunting hypotheses; queries</t>
  </si>
  <si>
    <t>2028-04</t>
  </si>
  <si>
    <t>Start CySA+; incident response</t>
  </si>
  <si>
    <t>2028-05</t>
  </si>
  <si>
    <t>Threat hunting; vulnerability management</t>
  </si>
  <si>
    <t>2028-06</t>
  </si>
  <si>
    <t>CySA+ Exam</t>
  </si>
  <si>
    <t>Sit exam; post-exam lab sprint</t>
  </si>
  <si>
    <t>2028-07</t>
  </si>
  <si>
    <t>IR</t>
  </si>
  <si>
    <t>Timeline building; Windows investigation</t>
  </si>
  <si>
    <t>2028-08</t>
  </si>
  <si>
    <t>SOC Project</t>
  </si>
  <si>
    <t>Simulated phishing-to-lateral-movement incident</t>
  </si>
  <si>
    <t>2028-09</t>
  </si>
  <si>
    <t>Portfolio</t>
  </si>
  <si>
    <t>Write IR report; improve detections</t>
  </si>
  <si>
    <t>2028-10</t>
  </si>
  <si>
    <t>22</t>
  </si>
  <si>
    <t>Year 3</t>
  </si>
  <si>
    <t>Offensive Foundations</t>
  </si>
  <si>
    <t>Recon; enumeration; Nmap; methodology</t>
  </si>
  <si>
    <t>2028-11</t>
  </si>
  <si>
    <t>HTB</t>
  </si>
  <si>
    <t>Pentesting path; service enumeration</t>
  </si>
  <si>
    <t>2028-12</t>
  </si>
  <si>
    <t>Privilege escalation fundamentals</t>
  </si>
  <si>
    <t>2029-01</t>
  </si>
  <si>
    <t>Web Security</t>
  </si>
  <si>
    <t>HTTP; Burp; auth/authz</t>
  </si>
  <si>
    <t>2029-02</t>
  </si>
  <si>
    <t>SQLi; XSS; CSRF; file inclusion</t>
  </si>
  <si>
    <t>2029-03</t>
  </si>
  <si>
    <t>SSRF; command injection; APIs/JWT</t>
  </si>
  <si>
    <t>2029-04</t>
  </si>
  <si>
    <t>Active Directory</t>
  </si>
  <si>
    <t>AD architecture; LDAP; Kerberos</t>
  </si>
  <si>
    <t>2029-05</t>
  </si>
  <si>
    <t>SPNs; Kerberoasting; AS-REP roasting</t>
  </si>
  <si>
    <t>2029-06</t>
  </si>
  <si>
    <t>BloodHound; ACLs; delegation; lateral movement</t>
  </si>
  <si>
    <t>2029-07</t>
  </si>
  <si>
    <t>Purple Exercise</t>
  </si>
  <si>
    <t>Attack lab; map to MITRE; capture telemetry</t>
  </si>
  <si>
    <t>2029-08</t>
  </si>
  <si>
    <t>Detection Validation</t>
  </si>
  <si>
    <t>Write detections for your own attacks</t>
  </si>
  <si>
    <t>2029-09</t>
  </si>
  <si>
    <t>OSCP+ Prep</t>
  </si>
  <si>
    <t>Start structured OSCP+ preparation</t>
  </si>
  <si>
    <t>2029-10</t>
  </si>
  <si>
    <t>23</t>
  </si>
  <si>
    <t>Year 4</t>
  </si>
  <si>
    <t>Enumeration; exploitation; privilege escalation</t>
  </si>
  <si>
    <t>2029-11</t>
  </si>
  <si>
    <t>Web + AD; pivoting/tunnelling</t>
  </si>
  <si>
    <t>2029-12</t>
  </si>
  <si>
    <t>Reporting; timed labs; weak-area remediation</t>
  </si>
  <si>
    <t>2030-01</t>
  </si>
  <si>
    <t>Readiness review; full mock</t>
  </si>
  <si>
    <t>2030-02</t>
  </si>
  <si>
    <t>OSCP+ Exam</t>
  </si>
  <si>
    <t>Target exam window</t>
  </si>
  <si>
    <t>2030-03</t>
  </si>
  <si>
    <t>OSCP+ Consolidation</t>
  </si>
  <si>
    <t>Remediation if needed; consolidate skills</t>
  </si>
  <si>
    <t>2030-04</t>
  </si>
  <si>
    <t>Detection Engineering</t>
  </si>
  <si>
    <t>PowerShell + credential access</t>
  </si>
  <si>
    <t>2030-05</t>
  </si>
  <si>
    <t>RDP; Kerberos; lateral movement</t>
  </si>
  <si>
    <t>2030-06</t>
  </si>
  <si>
    <t>Persistence; services; scheduled tasks</t>
  </si>
  <si>
    <t>2030-07</t>
  </si>
  <si>
    <t>Python SOC enrichment tool</t>
  </si>
  <si>
    <t>2030-08</t>
  </si>
  <si>
    <t>Threat intel + IOC enrichment</t>
  </si>
  <si>
    <t>2030-09</t>
  </si>
  <si>
    <t>Risk scoring + workflow automation</t>
  </si>
  <si>
    <t>2030-10</t>
  </si>
  <si>
    <t>24</t>
  </si>
  <si>
    <t>Year 5</t>
  </si>
  <si>
    <t>Enterprise Lab</t>
  </si>
  <si>
    <t>Enterprise cyber range architecture</t>
  </si>
  <si>
    <t>2030-11</t>
  </si>
  <si>
    <t>AD + servers + clients + web + segmentation</t>
  </si>
  <si>
    <t>2030-12</t>
  </si>
  <si>
    <t>SIEM + EDR + logging + detection coverage</t>
  </si>
  <si>
    <t>2031-01</t>
  </si>
  <si>
    <t>DFIR</t>
  </si>
  <si>
    <t>Windows artifacts; timelines; persistence</t>
  </si>
  <si>
    <t>2031-02</t>
  </si>
  <si>
    <t>DFIR + Malware Analysis</t>
  </si>
  <si>
    <t>Disk/memory concepts; Windows artifacts; malware triage; static/dynamic analysis fundamentals</t>
  </si>
  <si>
    <t>2031-03</t>
  </si>
  <si>
    <t>Advanced hunting; investigations</t>
  </si>
  <si>
    <t>2031-04</t>
  </si>
  <si>
    <t>Full attack chain; ATT&amp;CK mapping</t>
  </si>
  <si>
    <t>2031-05</t>
  </si>
  <si>
    <t>Control validation; measure gaps</t>
  </si>
  <si>
    <t>2031-06</t>
  </si>
  <si>
    <t>Capstone</t>
  </si>
  <si>
    <t>Build final enterprise cyber range</t>
  </si>
  <si>
    <t>2031-07</t>
  </si>
  <si>
    <t>Run full red/blue exercise</t>
  </si>
  <si>
    <t>2031-08</t>
  </si>
  <si>
    <t>Incident + vulnerability + remediation reports</t>
  </si>
  <si>
    <t>2031-09</t>
  </si>
  <si>
    <t>Executive report; portfolio polish; career review</t>
  </si>
  <si>
    <t>2031-10</t>
  </si>
  <si>
    <t>25</t>
  </si>
  <si>
    <t>PROJECT 25 REVIEW</t>
  </si>
  <si>
    <t>Demonstrate attack, detect, investigate, remediate, automate</t>
  </si>
  <si>
    <t>Skill</t>
  </si>
  <si>
    <t>Target Age</t>
  </si>
  <si>
    <t>What Good Looks Like</t>
  </si>
  <si>
    <t>XP Value</t>
  </si>
  <si>
    <t>Networking</t>
  </si>
  <si>
    <t>TCP/IP, subnetting, DNS, DHCP, VLANs, routing, VPNs</t>
  </si>
  <si>
    <t>Windows</t>
  </si>
  <si>
    <t>Services, registry, Event Viewer, NTFS, PowerShell</t>
  </si>
  <si>
    <t>Linux</t>
  </si>
  <si>
    <t>Bash, permissions, processes, SSH, logs</t>
  </si>
  <si>
    <t>Python</t>
  </si>
  <si>
    <t>Automation, APIs, sockets, log parsing, security tooling</t>
  </si>
  <si>
    <t>PowerShell</t>
  </si>
  <si>
    <t>Windows automation, investigation, administration</t>
  </si>
  <si>
    <t>LDAP, Kerberos, GPO, ACLs, AD CS, BloodHound</t>
  </si>
  <si>
    <t>Sentinel, Elastic, ingestion, queries, dashboards</t>
  </si>
  <si>
    <t>Queries, hunting, detections</t>
  </si>
  <si>
    <t>Map attacks to tactics/techniques</t>
  </si>
  <si>
    <t>Hypothesis-driven hunting and investigation</t>
  </si>
  <si>
    <t>Incident Response</t>
  </si>
  <si>
    <t>Triage, timelines, containment, reporting</t>
  </si>
  <si>
    <t>Engineering and validating detections</t>
  </si>
  <si>
    <t>Penetration Testing</t>
  </si>
  <si>
    <t>Recon, enum, exploitation, reporting</t>
  </si>
  <si>
    <t>HTTP, auth, SQLi, XSS, SSRF, APIs</t>
  </si>
  <si>
    <t>AD Attacks</t>
  </si>
  <si>
    <t>Kerberoasting, AS-REP, PTH/PTT, lateral movement</t>
  </si>
  <si>
    <t>Artifacts, timelines, evidence, malware behaviour</t>
  </si>
  <si>
    <t>Security Automation</t>
  </si>
  <si>
    <t>Python workflows, enrichment, risk scoring</t>
  </si>
  <si>
    <t>Attack → detect → investigate → improve</t>
  </si>
  <si>
    <t>PowerShell Advanced</t>
  </si>
  <si>
    <t>Administration, remoting, event logs, automation, security tooling</t>
  </si>
  <si>
    <t>Bash Scripting</t>
  </si>
  <si>
    <t>Linux automation, text processing, shell scripting</t>
  </si>
  <si>
    <t>APIs, sockets, parsers, tooling, automation</t>
  </si>
  <si>
    <t>Branches, commits, issues, pull requests, portfolio hygiene</t>
  </si>
  <si>
    <t>Secure Software Development</t>
  </si>
  <si>
    <t>Input validation, auth, secrets, logging, tests, secure design</t>
  </si>
  <si>
    <t>C# / .NET</t>
  </si>
  <si>
    <t>26</t>
  </si>
  <si>
    <t>Basic applications, APIs, Microsoft ecosystem</t>
  </si>
  <si>
    <t>C++</t>
  </si>
  <si>
    <t>Systems programming and memory concepts</t>
  </si>
  <si>
    <t>Java</t>
  </si>
  <si>
    <t>OOP, APIs, enterprise application foundations</t>
  </si>
  <si>
    <t>Routing, switching, VLANs, ACLs, VPNs, troubleshooting, automation</t>
  </si>
  <si>
    <t>Azure security, IAM, network security, Defender for Cloud, Sentinel, secure workloads</t>
  </si>
  <si>
    <t>Malware Analysis</t>
  </si>
  <si>
    <t>25–26</t>
  </si>
  <si>
    <t>Static/dynamic analysis, PE basics, process/network behaviour, sandboxes, IOC extraction</t>
  </si>
  <si>
    <t>Reverse Engineering</t>
  </si>
  <si>
    <t>26+</t>
  </si>
  <si>
    <t>Assembly, debugging, decompilation, Ghidra, x64dbg, Windows internals</t>
  </si>
  <si>
    <t>Malware Research &amp; RE Automation</t>
  </si>
  <si>
    <t>Python/Ghidra scripting, triage automation, binary analysis workflows</t>
  </si>
  <si>
    <t>Certification</t>
  </si>
  <si>
    <t>Domain</t>
  </si>
  <si>
    <t>Target Window</t>
  </si>
  <si>
    <t>Completed</t>
  </si>
  <si>
    <t>IT Foundations</t>
  </si>
  <si>
    <t>CompTIA Network+</t>
  </si>
  <si>
    <t>Sep 2026–Jan 2027</t>
  </si>
  <si>
    <t>Core</t>
  </si>
  <si>
    <t>CompTIA Security+</t>
  </si>
  <si>
    <t>Security fundamentals</t>
  </si>
  <si>
    <t>Jan–May 2027</t>
  </si>
  <si>
    <t>Microsoft SC-900</t>
  </si>
  <si>
    <t>Microsoft security / identity fundamentals</t>
  </si>
  <si>
    <t>Late 2026 / early 2027</t>
  </si>
  <si>
    <t>Microsoft AZ-900</t>
  </si>
  <si>
    <t>Azure fundamentals</t>
  </si>
  <si>
    <t>20–21</t>
  </si>
  <si>
    <t>2027; can be skipped if AZ-104 preparation covers the foundation</t>
  </si>
  <si>
    <t>Medium</t>
  </si>
  <si>
    <t>Cisco CCNA</t>
  </si>
  <si>
    <t>Networking / Security</t>
  </si>
  <si>
    <t>Immediately after Security+; target mid/late 2027</t>
  </si>
  <si>
    <t>CompTIA CySA+</t>
  </si>
  <si>
    <t>SOC / Blue Team</t>
  </si>
  <si>
    <t>Microsoft SC-300</t>
  </si>
  <si>
    <t>Entra ID / Identity &amp; Access</t>
  </si>
  <si>
    <t>After AD + Entra fundamentals</t>
  </si>
  <si>
    <t>Microsoft AZ-104</t>
  </si>
  <si>
    <t>Azure administration</t>
  </si>
  <si>
    <t>After Azure fundamentals + lab experience</t>
  </si>
  <si>
    <t>Microsoft SC-200</t>
  </si>
  <si>
    <t>Security Operations</t>
  </si>
  <si>
    <t>After SIEM/KQL/SOC fundamentals</t>
  </si>
  <si>
    <t>Microsoft MD-102</t>
  </si>
  <si>
    <t>Endpoint / Intune / Windows 365</t>
  </si>
  <si>
    <t>Strong fit for Windows/IT support background</t>
  </si>
  <si>
    <t>Microsoft MS-102</t>
  </si>
  <si>
    <t>Microsoft 365 administration/security</t>
  </si>
  <si>
    <t>Advanced M365 track if career requires it</t>
  </si>
  <si>
    <t>Microsoft SC-500</t>
  </si>
  <si>
    <t>Optional/Future</t>
  </si>
  <si>
    <t>Cloud + AI security</t>
  </si>
  <si>
    <t>Future advanced option; review current exam status before scheduling</t>
  </si>
  <si>
    <t>CompTIA Linux+</t>
  </si>
  <si>
    <t>20–22</t>
  </si>
  <si>
    <t>Only if Linux becomes a career priority</t>
  </si>
  <si>
    <t>CEH</t>
  </si>
  <si>
    <t>De-prioritised</t>
  </si>
  <si>
    <t>General ethical hacking</t>
  </si>
  <si>
    <t>Not a Project 25 priority</t>
  </si>
  <si>
    <t>Low</t>
  </si>
  <si>
    <t>Red Team / AD</t>
  </si>
  <si>
    <t>22–23</t>
  </si>
  <si>
    <t>After substantial lab/HTB experience</t>
  </si>
  <si>
    <t>Major milestone</t>
  </si>
  <si>
    <t>Specialist Cert 1</t>
  </si>
  <si>
    <t>Cloud / DFIR / AD</t>
  </si>
  <si>
    <t>Choose based on career</t>
  </si>
  <si>
    <t>Specialist Cert 2</t>
  </si>
  <si>
    <t>Malware Analysis / RE Certification</t>
  </si>
  <si>
    <t>Optional / Future</t>
  </si>
  <si>
    <t>DFIR / Reverse Engineering</t>
  </si>
  <si>
    <t>25–27</t>
  </si>
  <si>
    <t>Do not force a cert here; prioritise hands-on malware analysis first</t>
  </si>
  <si>
    <t>CCNA SEQUENCE NOTE</t>
  </si>
  <si>
    <t>After Security+</t>
  </si>
  <si>
    <t>Network+ gives the baseline; CCNA is the deeper networking milestone you want in 2027. Keep security practice running alongside it.</t>
  </si>
  <si>
    <t>Project 25 rule</t>
  </si>
  <si>
    <t>1 core + 1 supporting + 1 fun</t>
  </si>
  <si>
    <t>CCNA should be the core certification immediately after Security+, while HTB/PowerShell remain supporting/fun tracks to avoid burnout.</t>
  </si>
  <si>
    <t>ID</t>
  </si>
  <si>
    <t>Project</t>
  </si>
  <si>
    <t>Definition of Done</t>
  </si>
  <si>
    <t>P01</t>
  </si>
  <si>
    <t>Homelab v1</t>
  </si>
  <si>
    <t>AD + Windows + Linux + Kali environment</t>
  </si>
  <si>
    <t>P02</t>
  </si>
  <si>
    <t>Python Network Scanner</t>
  </si>
  <si>
    <t>Scan hosts/ports and export results</t>
  </si>
  <si>
    <t>P03</t>
  </si>
  <si>
    <t>Log Parser</t>
  </si>
  <si>
    <t>Parse logs and flag indicators</t>
  </si>
  <si>
    <t>P04</t>
  </si>
  <si>
    <t>Security Assessment Report</t>
  </si>
  <si>
    <t>Professional assessment of own lab</t>
  </si>
  <si>
    <t>P05</t>
  </si>
  <si>
    <t>SOC Lab</t>
  </si>
  <si>
    <t>SIEM + logs + alerting</t>
  </si>
  <si>
    <t>P06</t>
  </si>
  <si>
    <t>Incident Response Simulation</t>
  </si>
  <si>
    <t>Investigate simulated compromise</t>
  </si>
  <si>
    <t>P07</t>
  </si>
  <si>
    <t>AD Pentest Lab</t>
  </si>
  <si>
    <t>Authorised AD assessment of own lab</t>
  </si>
  <si>
    <t>P08</t>
  </si>
  <si>
    <t>Purple Team Exercise</t>
  </si>
  <si>
    <t>Attack lab and validate detections</t>
  </si>
  <si>
    <t>P09</t>
  </si>
  <si>
    <t>SOC Automation Engine</t>
  </si>
  <si>
    <t>IOC enrichment + threat intel + risk scoring</t>
  </si>
  <si>
    <t>P10</t>
  </si>
  <si>
    <t>Enterprise Cyber Range</t>
  </si>
  <si>
    <t>Enterprise network + AD + SIEM + EDR</t>
  </si>
  <si>
    <t>P11</t>
  </si>
  <si>
    <t>Final Purple Team Exercise</t>
  </si>
  <si>
    <t>Full attack + detection + IR + remediation</t>
  </si>
  <si>
    <t>P12</t>
  </si>
  <si>
    <t>PortSwigger Web Security Portfolio</t>
  </si>
  <si>
    <t>20+ labs completed; 3 high-quality writeups covering SQLi/XSS/SSRF/auth</t>
  </si>
  <si>
    <t>P13</t>
  </si>
  <si>
    <t>GitHub Security Portfolio</t>
  </si>
  <si>
    <t>Structured repositories + README templates + sanitised evidence</t>
  </si>
  <si>
    <t>P14</t>
  </si>
  <si>
    <t>IOC Enrichment Tool</t>
  </si>
  <si>
    <t>Python tool that enriches lab indicators with documented APIs</t>
  </si>
  <si>
    <t>P15</t>
  </si>
  <si>
    <t>AD Security Assessment</t>
  </si>
  <si>
    <t>Authorised AD lab assessment + findings + remediation report</t>
  </si>
  <si>
    <t>P16</t>
  </si>
  <si>
    <t>Purple Team Detection Pack</t>
  </si>
  <si>
    <t>Attack simulation mapped to ATT&amp;CK with tested detections</t>
  </si>
  <si>
    <t>P17</t>
  </si>
  <si>
    <t>Year 1 Career Portfolio</t>
  </si>
  <si>
    <t>Career</t>
  </si>
  <si>
    <t>CV + LinkedIn + GitHub + portfolio reviewed and updated</t>
  </si>
  <si>
    <t>Week</t>
  </si>
  <si>
    <t>Start Date</t>
  </si>
  <si>
    <t>Main Goal</t>
  </si>
  <si>
    <t>Lab</t>
  </si>
  <si>
    <t>Practice/HTB</t>
  </si>
  <si>
    <t>Coding</t>
  </si>
  <si>
    <t>Documentation</t>
  </si>
  <si>
    <t>Weekly XP</t>
  </si>
  <si>
    <t>Stretch</t>
  </si>
  <si>
    <t>PROJECT 25 — 12-MONTH CYBERSECURITY STARTER</t>
  </si>
  <si>
    <t>Purpose: integrate your original 12-month ethical-hacking plan into the five-year roadmap, while keeping Blue Team/SOC, Red Team, web security, scripting, portfolio and career skills balanced.</t>
  </si>
  <si>
    <t>XP EARNED</t>
  </si>
  <si>
    <t>XP AVAILABLE</t>
  </si>
  <si>
    <t>MANDATORY</t>
  </si>
  <si>
    <t>OPTIONAL</t>
  </si>
  <si>
    <t>OPTIONAL DONE</t>
  </si>
  <si>
    <t>Month #</t>
  </si>
  <si>
    <t>Skill / Topic</t>
  </si>
  <si>
    <t>What to Learn</t>
  </si>
  <si>
    <t>Practical Mission</t>
  </si>
  <si>
    <t>Primary Resource</t>
  </si>
  <si>
    <t>Portfolio Deliverable</t>
  </si>
  <si>
    <t>1</t>
  </si>
  <si>
    <t>Foundations</t>
  </si>
  <si>
    <t>Networking + Cyber Basics</t>
  </si>
  <si>
    <t>TCP/IP, OSI, IPv4/IPv6, ports, DNS, DHCP, HTTP/HTTPS, VPN concepts</t>
  </si>
  <si>
    <t>Build a small virtual network and diagram it</t>
  </si>
  <si>
    <t>Network+ + lab notes</t>
  </si>
  <si>
    <t>Networking notes + diagram</t>
  </si>
  <si>
    <t>Mandatory</t>
  </si>
  <si>
    <t>Linux + CLI</t>
  </si>
  <si>
    <t>Filesystem, permissions, processes, package management, SSH, grep/find/curl</t>
  </si>
  <si>
    <t>Complete 25 Linux CLI exercises in your lab</t>
  </si>
  <si>
    <t>HTB Linux Fundamentals</t>
  </si>
  <si>
    <t>linux-basics.md</t>
  </si>
  <si>
    <t>Windows + PowerShell</t>
  </si>
  <si>
    <t>Event Viewer, services, Defender, firewall, users/groups, PowerShell basics</t>
  </si>
  <si>
    <t>Create a Windows troubleshooting/security command cheat sheet</t>
  </si>
  <si>
    <t>Microsoft Learn + own lab</t>
  </si>
  <si>
    <t>windows-basics.md</t>
  </si>
  <si>
    <t>Git/GitHub</t>
  </si>
  <si>
    <t>Git init/clone/add/commit/push, branches, README basics</t>
  </si>
  <si>
    <t>Create the Project 25 GitHub repo structure</t>
  </si>
  <si>
    <t>GitHub Docs</t>
  </si>
  <si>
    <t>repo-setup.md</t>
  </si>
  <si>
    <t>2</t>
  </si>
  <si>
    <t>Networking Deep Dive</t>
  </si>
  <si>
    <t>Subnetting, ARP, ICMP, TCP/UDP, NAT, routing, VLANs</t>
  </si>
  <si>
    <t>Capture and explain traffic with Wireshark</t>
  </si>
  <si>
    <t>Wireshark + Network+</t>
  </si>
  <si>
    <t>wireshark-basics.md</t>
  </si>
  <si>
    <t>Ethical Hacking</t>
  </si>
  <si>
    <t>Methodology</t>
  </si>
  <si>
    <t>Scope, rules of engagement, reconnaissance, enumeration, validation, reporting</t>
  </si>
  <si>
    <t>Write a safe penetration-testing methodology for your own lab</t>
  </si>
  <si>
    <t>HTB Penetration Testing Process</t>
  </si>
  <si>
    <t>pentest-methodology.md</t>
  </si>
  <si>
    <t>Nmap</t>
  </si>
  <si>
    <t>Host discovery, service/version detection, safe enumeration concepts</t>
  </si>
  <si>
    <t>Scan only your lab and document findings</t>
  </si>
  <si>
    <t>Nmap docs + HTB</t>
  </si>
  <si>
    <t>nmap-lab.md</t>
  </si>
  <si>
    <t>Bash</t>
  </si>
  <si>
    <t>Variables, loops, conditionals, functions, pipes, redirection</t>
  </si>
  <si>
    <t>Automate 3 repetitive lab tasks with Bash</t>
  </si>
  <si>
    <t>HTB Bash module</t>
  </si>
  <si>
    <t>bash-automation.md</t>
  </si>
  <si>
    <t>3</t>
  </si>
  <si>
    <t>Security</t>
  </si>
  <si>
    <t>Security Fundamentals</t>
  </si>
  <si>
    <t>CIA, IAM, AAA, risk, vulnerabilities, threats, controls, crypto basics</t>
  </si>
  <si>
    <t>Map common attacks to security controls</t>
  </si>
  <si>
    <t>security-fundamentals.md</t>
  </si>
  <si>
    <t>Wireshark</t>
  </si>
  <si>
    <t>Filters, TCP streams, DNS/HTTP analysis, suspicious traffic concepts</t>
  </si>
  <si>
    <t>Investigate 5 packet captures and write findings</t>
  </si>
  <si>
    <t>pcap-analysis.md</t>
  </si>
  <si>
    <t>Metasploit concepts</t>
  </si>
  <si>
    <t>Understand modules, payloads, sessions, exploitation workflow in a lab</t>
  </si>
  <si>
    <t>Complete authorised lab exercises and document what occurred</t>
  </si>
  <si>
    <t>HTB / Metasploit docs</t>
  </si>
  <si>
    <t>metasploit-lab.md</t>
  </si>
  <si>
    <t>Windows Logs</t>
  </si>
  <si>
    <t>Security, System, PowerShell and authentication events</t>
  </si>
  <si>
    <t>Build a Windows event log cheat sheet</t>
  </si>
  <si>
    <t>Microsoft Learn</t>
  </si>
  <si>
    <t>windows-event-logs.md</t>
  </si>
  <si>
    <t>4</t>
  </si>
  <si>
    <t>Security+ Preparation</t>
  </si>
  <si>
    <t>Network security, attacks, identity, secure architecture, governance</t>
  </si>
  <si>
    <t>Complete practice questions and track weak domains</t>
  </si>
  <si>
    <t>securityplus-review.md</t>
  </si>
  <si>
    <t>Python Fundamentals</t>
  </si>
  <si>
    <t>Variables, functions, files, exceptions, modules, JSON, APIs</t>
  </si>
  <si>
    <t>Build a CLI log parser</t>
  </si>
  <si>
    <t>Python docs</t>
  </si>
  <si>
    <t>python-log-parser</t>
  </si>
  <si>
    <t>Technical Writing</t>
  </si>
  <si>
    <t>Evidence, screenshots, reproducibility, remediation, executive summary</t>
  </si>
  <si>
    <t>Publish your first sanitized technical write-up</t>
  </si>
  <si>
    <t>GitHub</t>
  </si>
  <si>
    <t>writeup-01.md</t>
  </si>
  <si>
    <t>5</t>
  </si>
  <si>
    <t>Security+ Exam Window</t>
  </si>
  <si>
    <t>Final review + practice exams + exam</t>
  </si>
  <si>
    <t>Sit Security+ when practice scores indicate readiness</t>
  </si>
  <si>
    <t>cert-securityplus.md</t>
  </si>
  <si>
    <t>HTTP + Burp</t>
  </si>
  <si>
    <t>Requests/responses, cookies, sessions, headers, Burp Proxy/Repeater</t>
  </si>
  <si>
    <t>Complete beginner PortSwigger labs</t>
  </si>
  <si>
    <t>PortSwigger Web Security Academy</t>
  </si>
  <si>
    <t>web-http-burp.md</t>
  </si>
  <si>
    <t>SQL Injection</t>
  </si>
  <si>
    <t>Understand SQLi causes, impact, detection and prevention</t>
  </si>
  <si>
    <t>Complete beginner SQLi labs in PortSwigger</t>
  </si>
  <si>
    <t>PortSwigger</t>
  </si>
  <si>
    <t>sqli-labs.md</t>
  </si>
  <si>
    <t>Python Security Automation</t>
  </si>
  <si>
    <t>Sockets, subprocess, regex, HTTP requests</t>
  </si>
  <si>
    <t>Build a simple lab-only port scanner and exporter</t>
  </si>
  <si>
    <t>Python docs + lab</t>
  </si>
  <si>
    <t>python-port-scanner</t>
  </si>
  <si>
    <t>6</t>
  </si>
  <si>
    <t>XSS + Auth</t>
  </si>
  <si>
    <t>Reflected/stored/DOM XSS, authentication, authorization, access control</t>
  </si>
  <si>
    <t>Complete beginner/intermediate labs</t>
  </si>
  <si>
    <t>xss-auth-labs.md</t>
  </si>
  <si>
    <t>SSRF + Command Injection</t>
  </si>
  <si>
    <t>Server-side request forgery and command injection fundamentals</t>
  </si>
  <si>
    <t>Complete deliberately vulnerable labs and document prevention</t>
  </si>
  <si>
    <t>ssrf-command-injection.md</t>
  </si>
  <si>
    <t>Privilege Escalation Basics</t>
  </si>
  <si>
    <t>Windows/Linux privilege concepts, services, permissions, misconfigurations</t>
  </si>
  <si>
    <t>Practice on authorised HTB/THM targets</t>
  </si>
  <si>
    <t>privesc-notes.md</t>
  </si>
  <si>
    <t>Map common attack techniques to tactics and telemetry</t>
  </si>
  <si>
    <t>Create your first ATT&amp;CK technique matrix</t>
  </si>
  <si>
    <t>attack-matrix-v1.md</t>
  </si>
  <si>
    <t>7</t>
  </si>
  <si>
    <t>HTB Penetration Tester Path</t>
  </si>
  <si>
    <t>Recon, enumeration, service assessment, exploitation workflow, reporting</t>
  </si>
  <si>
    <t>Complete a structured block of HTB modules</t>
  </si>
  <si>
    <t>HTB Academy Penetration Tester</t>
  </si>
  <si>
    <t>htb-pt-progress.md</t>
  </si>
  <si>
    <t>Active Directory Fundamentals</t>
  </si>
  <si>
    <t>AD DS, DNS, users/groups, GPO, LDAP, Kerberos concepts</t>
  </si>
  <si>
    <t>Build/extend your AD lab and map the environment</t>
  </si>
  <si>
    <t>Microsoft Learn + HTB</t>
  </si>
  <si>
    <t>ad-fundamentals.md</t>
  </si>
  <si>
    <t>SOC Fundamentals</t>
  </si>
  <si>
    <t>Alert triage, severity, incident lifecycle, evidence preservation</t>
  </si>
  <si>
    <t>Work through 5 simulated SOC alerts</t>
  </si>
  <si>
    <t>HTB SOC Analyst</t>
  </si>
  <si>
    <t>soc-alert-triage.md</t>
  </si>
  <si>
    <t>CV + LinkedIn</t>
  </si>
  <si>
    <t>Translate IT experience into security-relevant achievements</t>
  </si>
  <si>
    <t>Update CV/LinkedIn with projects, labs and outcomes</t>
  </si>
  <si>
    <t>Own work</t>
  </si>
  <si>
    <t>career-profile.md</t>
  </si>
  <si>
    <t>8</t>
  </si>
  <si>
    <t>SIEM Fundamentals</t>
  </si>
  <si>
    <t>Log collection, searches, dashboards, correlation, alerts</t>
  </si>
  <si>
    <t>Deploy a small SIEM lab and ingest Windows logs</t>
  </si>
  <si>
    <t>Microsoft Sentinel / Elastic + HTB</t>
  </si>
  <si>
    <t>siem-lab.md</t>
  </si>
  <si>
    <t>Basic querying, filtering, aggregation and hunting logic</t>
  </si>
  <si>
    <t>Write 10 KQL queries against lab data</t>
  </si>
  <si>
    <t>Microsoft Learn SC-200</t>
  </si>
  <si>
    <t>kql-hunting.md</t>
  </si>
  <si>
    <t>Credential &amp; AD Attack Concepts</t>
  </si>
  <si>
    <t>Kerberos/NTLM concepts, credential exposure, lateral movement</t>
  </si>
  <si>
    <t>Study attack chains and corresponding detections in lab</t>
  </si>
  <si>
    <t>HTB + MITRE ATT&amp;CK</t>
  </si>
  <si>
    <t>ad-attack-detection.md</t>
  </si>
  <si>
    <t>Bug Bounty</t>
  </si>
  <si>
    <t>Recon Rules &amp; Scope</t>
  </si>
  <si>
    <t>Understand program scope, safe testing, disclosure and evidence</t>
  </si>
  <si>
    <t>Create a bug bounty checklist; no testing outside scope</t>
  </si>
  <si>
    <t>HackerOne/OWASP</t>
  </si>
  <si>
    <t>bug-bounty-checklist.md</t>
  </si>
  <si>
    <t>9</t>
  </si>
  <si>
    <t>Triage, containment, eradication, recovery, lessons learned</t>
  </si>
  <si>
    <t>Run a simulated phishing-to-compromise incident</t>
  </si>
  <si>
    <t>ir-simulation.md</t>
  </si>
  <si>
    <t>PortSwigger Lab Sprint</t>
  </si>
  <si>
    <t>SQLi, XSS, auth, access control, SSRF</t>
  </si>
  <si>
    <t>Complete 20 labs and write up 3</t>
  </si>
  <si>
    <t>portswigger-sprint.md</t>
  </si>
  <si>
    <t>API + Threat Intel Automation</t>
  </si>
  <si>
    <t>Requests, JSON, API auth, rate-limit awareness</t>
  </si>
  <si>
    <t>Build a lab IOC enrichment tool using documented APIs</t>
  </si>
  <si>
    <t>Python + public APIs</t>
  </si>
  <si>
    <t>ioc-enricher.md</t>
  </si>
  <si>
    <t>Interview Basics</t>
  </si>
  <si>
    <t>Networking/security questions, troubleshooting stories, STAR responses</t>
  </si>
  <si>
    <t>Complete 2 mock security interviews</t>
  </si>
  <si>
    <t>interview-prep.md</t>
  </si>
  <si>
    <t>10</t>
  </si>
  <si>
    <t>Authorised Lab Pentest</t>
  </si>
  <si>
    <t>Scope, recon, enumeration, exploit validation, evidence, report</t>
  </si>
  <si>
    <t>Perform a complete assessment against your own lab</t>
  </si>
  <si>
    <t>HTB / own lab</t>
  </si>
  <si>
    <t>lab-pentest-report.md</t>
  </si>
  <si>
    <t>Create detections from behaviours, map to ATT&amp;CK, test false positives</t>
  </si>
  <si>
    <t>Write 5 detections for attacks you performed</t>
  </si>
  <si>
    <t>MITRE + SIEM</t>
  </si>
  <si>
    <t>detections-v1.md</t>
  </si>
  <si>
    <t>Attack → Detect</t>
  </si>
  <si>
    <t>Run one attack, collect telemetry, validate detection, remediate</t>
  </si>
  <si>
    <t>Complete your first purple-team exercise</t>
  </si>
  <si>
    <t>Own lab</t>
  </si>
  <si>
    <t>purple-exercise-01.md</t>
  </si>
  <si>
    <t>Security Report</t>
  </si>
  <si>
    <t>Technical findings + business impact + remediation</t>
  </si>
  <si>
    <t>Publish a sanitised professional security assessment</t>
  </si>
  <si>
    <t>security-report-01.pdf</t>
  </si>
  <si>
    <t>11</t>
  </si>
  <si>
    <t>Active Directory Security</t>
  </si>
  <si>
    <t>BloodHound concepts, attack paths, privilege escalation, lateral movement</t>
  </si>
  <si>
    <t>Complete an authorised AD lab assessment</t>
  </si>
  <si>
    <t>ad-assessment.md</t>
  </si>
  <si>
    <t>Hypothesis-driven hunting, Windows telemetry, suspicious auth</t>
  </si>
  <si>
    <t>Run 5 hunts and document results</t>
  </si>
  <si>
    <t>threat-hunting.md</t>
  </si>
  <si>
    <t>Public Presence</t>
  </si>
  <si>
    <t>Writeups</t>
  </si>
  <si>
    <t>Explain a challenge without publishing sensitive secrets</t>
  </si>
  <si>
    <t>Publish 2 high-quality technical writeups</t>
  </si>
  <si>
    <t>writeups-02-03</t>
  </si>
  <si>
    <t>12</t>
  </si>
  <si>
    <t>DFIR Basics</t>
  </si>
  <si>
    <t>Timelines, Windows artifacts, persistence evidence, chain of custody concepts</t>
  </si>
  <si>
    <t>Investigate a simulated endpoint compromise</t>
  </si>
  <si>
    <t>dfir-basics.md</t>
  </si>
  <si>
    <t>CTF Fundamentals</t>
  </si>
  <si>
    <t>Enumeration under time pressure, flags, note-taking</t>
  </si>
  <si>
    <t>Complete a beginner CTF and document lessons</t>
  </si>
  <si>
    <t>HTB / TryHackMe</t>
  </si>
  <si>
    <t>ctf-01.md</t>
  </si>
  <si>
    <t>First Valid Scope Test</t>
  </si>
  <si>
    <t>Only use explicitly permitted programs; focus on methodology</t>
  </si>
  <si>
    <t>Attempt one scoped program assessment and document outcome</t>
  </si>
  <si>
    <t>HackerOne/Bugcrowd</t>
  </si>
  <si>
    <t>bug-bounty-01.md</t>
  </si>
  <si>
    <t>Skills, portfolio, certs, gaps, next-year targets</t>
  </si>
  <si>
    <t>Perform a formal Project 25 quarterly/annual review</t>
  </si>
  <si>
    <t>Project 25</t>
  </si>
  <si>
    <t>year1-review.md</t>
  </si>
  <si>
    <t>GAMIFIED RULE: set a mission to Done only when you can demonstrate the skill or produce the stated deliverable. XP is awarded for evidence-backed completion; do not award yourself XP for simply watching a course.</t>
  </si>
  <si>
    <t>MICROSOFT / RDP ADD-ON TRACK</t>
  </si>
  <si>
    <t>Microsoft / RDP</t>
  </si>
  <si>
    <t>RDP Security &amp; Architecture</t>
  </si>
  <si>
    <t>RDP services, NLA, sessions, Windows Firewall, authentication flow</t>
  </si>
  <si>
    <t>Map an RDP environment and create a secure remote-access checklist</t>
  </si>
  <si>
    <t>rdp-security-checklist.md</t>
  </si>
  <si>
    <t>Microsoft / Windows</t>
  </si>
  <si>
    <t>Windows Server Administration</t>
  </si>
  <si>
    <t>Roles, services, Event Viewer, local security, PowerShell administration</t>
  </si>
  <si>
    <t>Build Windows Server lab and document admin/security commands</t>
  </si>
  <si>
    <t>windows-server-admin.md</t>
  </si>
  <si>
    <t>Microsoft / AD</t>
  </si>
  <si>
    <t>Active Directory DS</t>
  </si>
  <si>
    <t>Domains, OUs, users, groups, GPO, DNS, domain controllers</t>
  </si>
  <si>
    <t>Build AD lab with GPOs and role-based groups</t>
  </si>
  <si>
    <t>ad-ds-lab.md</t>
  </si>
  <si>
    <t>Microsoft / Entra</t>
  </si>
  <si>
    <t>Entra ID Fundamentals</t>
  </si>
  <si>
    <t>Entra ID, MFA, Conditional Access, RBAC, hybrid identity</t>
  </si>
  <si>
    <t>Complete SC-900-aligned Entra labs/notes</t>
  </si>
  <si>
    <t>Microsoft Learn SC-900</t>
  </si>
  <si>
    <t>entra-sc900.md</t>
  </si>
  <si>
    <t>Microsoft / Azure</t>
  </si>
  <si>
    <t>Azure Fundamentals</t>
  </si>
  <si>
    <t>Subscriptions, resources, VNets, NSGs, VMs, storage, identity</t>
  </si>
  <si>
    <t>Deploy a small Azure lab environment securely</t>
  </si>
  <si>
    <t>Microsoft Learn AZ-900/AZ-104</t>
  </si>
  <si>
    <t>azure-fundamentals-lab.md</t>
  </si>
  <si>
    <t>Microsoft / Identity</t>
  </si>
  <si>
    <t>Hybrid Identity</t>
  </si>
  <si>
    <t>AD ↔ Entra concepts, device identity, sync concepts</t>
  </si>
  <si>
    <t>Create a hybrid identity architecture diagram</t>
  </si>
  <si>
    <t>Microsoft Learn SC-300</t>
  </si>
  <si>
    <t>hybrid-identity-diagram.md</t>
  </si>
  <si>
    <t>Microsoft / SOC</t>
  </si>
  <si>
    <t>Sentinel + KQL</t>
  </si>
  <si>
    <t>Logs, incidents, KQL queries, analytics rules</t>
  </si>
  <si>
    <t>Ingest Windows logs and write 10 KQL queries</t>
  </si>
  <si>
    <t>sentinel-kql-lab.md</t>
  </si>
  <si>
    <t>Conditional Access + PIM</t>
  </si>
  <si>
    <t>MFA, Conditional Access, least privilege, PIM, access reviews</t>
  </si>
  <si>
    <t>Design a secure identity baseline</t>
  </si>
  <si>
    <t>entra-security-baseline.md</t>
  </si>
  <si>
    <t>Microsoft / Endpoint</t>
  </si>
  <si>
    <t>Intune / AVD concepts</t>
  </si>
  <si>
    <t>Intune, Entra device identity, Azure Virtual Desktop, Windows 365</t>
  </si>
  <si>
    <t>Document a secure managed endpoint + remote desktop architecture</t>
  </si>
  <si>
    <t>Microsoft Learn MD-102</t>
  </si>
  <si>
    <t>endpoint-rdp-architecture.md</t>
  </si>
  <si>
    <t>Microsoft / Security</t>
  </si>
  <si>
    <t>Defender XDR + IR</t>
  </si>
  <si>
    <t>Defender for Endpoint, Defender for Identity, Sentinel investigations</t>
  </si>
  <si>
    <t>Run a Microsoft-focused incident response simulation</t>
  </si>
  <si>
    <t>microsoft-ir-lab.md</t>
  </si>
  <si>
    <t>Microsoft / AD Security</t>
  </si>
  <si>
    <t>AD Attack Detection</t>
  </si>
  <si>
    <t>Kerberos/NTLM concepts and defensive telemetry</t>
  </si>
  <si>
    <t>Map AD attack techniques to Microsoft logs/detections</t>
  </si>
  <si>
    <t>MITRE + Microsoft Learn</t>
  </si>
  <si>
    <t>Microsoft / Portfolio</t>
  </si>
  <si>
    <t>Enterprise Microsoft Case Study</t>
  </si>
  <si>
    <t>RDP + Windows Server + AD + Entra + Azure + security</t>
  </si>
  <si>
    <t>Publish a sanitized enterprise architecture/security case study</t>
  </si>
  <si>
    <t>Microsoft Learn + GitHub</t>
  </si>
  <si>
    <t>microsoft-case-study.md</t>
  </si>
  <si>
    <t>CCNA MINI-TRACK — RIGHT AFTER SECURITY+</t>
  </si>
  <si>
    <t>After S+</t>
  </si>
  <si>
    <t>CCNA Routing &amp; Switching Core</t>
  </si>
  <si>
    <t>VLANs, trunking, routing, IPv4/IPv6, STP, EtherChannel, wireless fundamentals</t>
  </si>
  <si>
    <t>Build a Packet Tracer/GNS3 lab with VLANs and inter-VLAN routing</t>
  </si>
  <si>
    <t>ccna-lab-01.md</t>
  </si>
  <si>
    <t>CCNA Network Services &amp; Security</t>
  </si>
  <si>
    <t>NAT, DHCP, DNS, ACLs, SSH, device hardening, basic automation</t>
  </si>
  <si>
    <t>Configure ACLs, SSH and secure management in the lab</t>
  </si>
  <si>
    <t>ccna-security-01.md</t>
  </si>
  <si>
    <t>CCNA Review + Exam</t>
  </si>
  <si>
    <t>Troubleshooting, subnetting, wireless, automation concepts, weak domains</t>
  </si>
  <si>
    <t>Take practice exams; sit CCNA when readiness is demonstrated</t>
  </si>
  <si>
    <t>cert-ccna.md</t>
  </si>
  <si>
    <t>Rule</t>
  </si>
  <si>
    <t>Important</t>
  </si>
  <si>
    <t>Don't let CCNA replace the cybersecurity track</t>
  </si>
  <si>
    <t>CCNA is a strategic networking depth milestone; continue HTB/SOC/PowerShell alongside it at sustainable intensity</t>
  </si>
  <si>
    <t>Keep networking labs tied to security use-cases</t>
  </si>
  <si>
    <t>ccna-security-integration.md</t>
  </si>
  <si>
    <t>PROJECT 25 — GITHUB PORTFOLIO ARCHITECTURE</t>
  </si>
  <si>
    <t>Goal: make your GitHub prove capability, not just show certificates. Every major project should have a README, architecture/diagrams, reproducible steps, evidence, limitations, remediation and a clear ethical scope.</t>
  </si>
  <si>
    <t>Folder / Repo</t>
  </si>
  <si>
    <t>Example Contents</t>
  </si>
  <si>
    <t>Public?</t>
  </si>
  <si>
    <t>README TEMPLATE</t>
  </si>
  <si>
    <t>Required?</t>
  </si>
  <si>
    <t>00-profile</t>
  </si>
  <si>
    <t>Professional landing page</t>
  </si>
  <si>
    <t>Bio, skills, certs, goals, featured projects</t>
  </si>
  <si>
    <t>YES</t>
  </si>
  <si>
    <t>Keep concise; link to best work</t>
  </si>
  <si>
    <t>Problem / Objective</t>
  </si>
  <si>
    <t>What were you trying to solve?</t>
  </si>
  <si>
    <t>01-foundations</t>
  </si>
  <si>
    <t>Networking/Linux/Windows fundamentals</t>
  </si>
  <si>
    <t>Lab notes, diagrams, command references</t>
  </si>
  <si>
    <t>No credentials or client data</t>
  </si>
  <si>
    <t>Scope / Ethics</t>
  </si>
  <si>
    <t>Exactly what systems were authorised?</t>
  </si>
  <si>
    <t>02-python-security</t>
  </si>
  <si>
    <t>Security automation code</t>
  </si>
  <si>
    <t>Scanners, parsers, API tools, enrichment</t>
  </si>
  <si>
    <t>Use safe lab targets only</t>
  </si>
  <si>
    <t>Environment</t>
  </si>
  <si>
    <t>Lab setup, versions, topology</t>
  </si>
  <si>
    <t>03-blue-team</t>
  </si>
  <si>
    <t>SOC and defensive work</t>
  </si>
  <si>
    <t>KQL, detections, hunting, IR reports</t>
  </si>
  <si>
    <t>Sanitise all evidence</t>
  </si>
  <si>
    <t>How you approached the assessment</t>
  </si>
  <si>
    <t>04-red-team</t>
  </si>
  <si>
    <t>Offensive learning</t>
  </si>
  <si>
    <t>CTF writeups, lab pentests, methodology</t>
  </si>
  <si>
    <t>Only authorised targets</t>
  </si>
  <si>
    <t>Evidence</t>
  </si>
  <si>
    <t>Screenshots, logs, commands, sanitized output</t>
  </si>
  <si>
    <t>05-web-security</t>
  </si>
  <si>
    <t>Web security research</t>
  </si>
  <si>
    <t>PortSwigger writeups, OWASP notes, Burp workflows</t>
  </si>
  <si>
    <t>Never publish live target secrets</t>
  </si>
  <si>
    <t>Findings</t>
  </si>
  <si>
    <t>Impact + severity + evidence</t>
  </si>
  <si>
    <t>06-active-directory</t>
  </si>
  <si>
    <t>AD security lab</t>
  </si>
  <si>
    <t>Diagrams, attack paths, detections, hardening</t>
  </si>
  <si>
    <t>Use lab identities/assets</t>
  </si>
  <si>
    <t>Detection / Defence</t>
  </si>
  <si>
    <t>How the issue can be detected/prevented</t>
  </si>
  <si>
    <t>07-purple-team</t>
  </si>
  <si>
    <t>Attack/detect validation</t>
  </si>
  <si>
    <t>ATT&amp;CK mappings, detection tests, gap analysis</t>
  </si>
  <si>
    <t>Show both attacker and defender view</t>
  </si>
  <si>
    <t>Remediation</t>
  </si>
  <si>
    <t>Concrete fixes</t>
  </si>
  <si>
    <t>08-homelab</t>
  </si>
  <si>
    <t>Infrastructure documentation</t>
  </si>
  <si>
    <t>Topology, build notes, IaC/scripts where safe</t>
  </si>
  <si>
    <t>Remove real IPs, passwords and internal names</t>
  </si>
  <si>
    <t>Lessons Learned</t>
  </si>
  <si>
    <t>What changed in your understanding</t>
  </si>
  <si>
    <t>09-reports</t>
  </si>
  <si>
    <t>Professional-style reports</t>
  </si>
  <si>
    <t>Pentest, IR, executive summaries</t>
  </si>
  <si>
    <t>Use fictional/sanitised targets</t>
  </si>
  <si>
    <t>Reproduction</t>
  </si>
  <si>
    <t>Steps another learner can repeat safely</t>
  </si>
  <si>
    <t>10-research</t>
  </si>
  <si>
    <t>Deep dives</t>
  </si>
  <si>
    <t>Technical research, experiments, lessons learned</t>
  </si>
  <si>
    <t>Cite sources</t>
  </si>
  <si>
    <t>References</t>
  </si>
  <si>
    <t>Official docs / standards / sources</t>
  </si>
  <si>
    <t>99-archive</t>
  </si>
  <si>
    <t>Retired projects</t>
  </si>
  <si>
    <t>Old versions and lessons learned</t>
  </si>
  <si>
    <t>Archive rather than delete learning</t>
  </si>
  <si>
    <t>MICROSOFT / RDP PORTFOLIO — ADD THESE TO YOUR GITHUB STRUCTURE</t>
  </si>
  <si>
    <t>Repo / Folder</t>
  </si>
  <si>
    <t>What it proves</t>
  </si>
  <si>
    <t>README Template</t>
  </si>
  <si>
    <t>Best Evidence</t>
  </si>
  <si>
    <t>Primary Tech</t>
  </si>
  <si>
    <t>11-microsoft-rdp</t>
  </si>
  <si>
    <t>Windows/RDP administration and security</t>
  </si>
  <si>
    <t>RDP architecture, hardening, logging, troubleshooting</t>
  </si>
  <si>
    <t>Never publish client data</t>
  </si>
  <si>
    <t>Problem → Architecture → Security controls → Validation → Lessons</t>
  </si>
  <si>
    <t>Diagrams + sanitized logs</t>
  </si>
  <si>
    <t>RDP / Windows</t>
  </si>
  <si>
    <t>12-active-directory</t>
  </si>
  <si>
    <t>AD administration + security</t>
  </si>
  <si>
    <t>OUs, GPOs, identity design, attack detection</t>
  </si>
  <si>
    <t>Lab identities/assets only</t>
  </si>
  <si>
    <t>Scope → Lab → Design → Test → Detection → Remediation</t>
  </si>
  <si>
    <t>AD diagrams + detections</t>
  </si>
  <si>
    <t>AD DS / PowerShell</t>
  </si>
  <si>
    <t>13-entra-id</t>
  </si>
  <si>
    <t>Cloud identity and access</t>
  </si>
  <si>
    <t>MFA, Conditional Access, RBAC, PIM, access reviews</t>
  </si>
  <si>
    <t>Never expose tenant IDs/secrets</t>
  </si>
  <si>
    <t>Identity model → Policies → Test cases → Security impact</t>
  </si>
  <si>
    <t>Policy screenshots sanitized</t>
  </si>
  <si>
    <t>Entra ID / SC-300</t>
  </si>
  <si>
    <t>14-azure</t>
  </si>
  <si>
    <t>Azure administration + security</t>
  </si>
  <si>
    <t>VNets, NSGs, VMs, storage, monitoring, governance</t>
  </si>
  <si>
    <t>No secrets / keys / IPs</t>
  </si>
  <si>
    <t>Architecture → Deployment → Security → Monitoring → Cost</t>
  </si>
  <si>
    <t>Architecture diagram + configs</t>
  </si>
  <si>
    <t>Azure / AZ-104</t>
  </si>
  <si>
    <t>15-microsoft-soc</t>
  </si>
  <si>
    <t>Microsoft SOC/security engineering</t>
  </si>
  <si>
    <t>Sentinel, KQL, Defender XDR, hunting, detections</t>
  </si>
  <si>
    <t>Use lab telemetry only</t>
  </si>
  <si>
    <t>Scenario → Telemetry → Query → Detection → Response</t>
  </si>
  <si>
    <t>KQL + alert evidence</t>
  </si>
  <si>
    <t>16-intune-endpoint</t>
  </si>
  <si>
    <t>Endpoint and remote-work security</t>
  </si>
  <si>
    <t>Intune, Defender for Endpoint, Windows 365/AVD concepts</t>
  </si>
  <si>
    <t>No client device details</t>
  </si>
  <si>
    <t>Device model → Policy → Security → Validation</t>
  </si>
  <si>
    <t>Policy diagrams + screenshots</t>
  </si>
  <si>
    <t>Intune / MD-102</t>
  </si>
  <si>
    <t>PROJECT 25 — CORE RESOURCES &amp; CURRENT REFERENCE LINKS</t>
  </si>
  <si>
    <t>Area</t>
  </si>
  <si>
    <t>Resource</t>
  </si>
  <si>
    <t>Why Use It</t>
  </si>
  <si>
    <t>Source URL</t>
  </si>
  <si>
    <t>HTB SOC Analyst path</t>
  </si>
  <si>
    <t>Practical progression through traffic analysis, SIEM, DFIR and reporting</t>
  </si>
  <si>
    <t>https://academy.hackthebox.com/catalogue/paths</t>
  </si>
  <si>
    <t>Pentesting</t>
  </si>
  <si>
    <t>HTB Penetration Tester path</t>
  </si>
  <si>
    <t>Structured recon → enumeration → exploitation → reporting pathway</t>
  </si>
  <si>
    <t>https://academy.hackthebox.com/path/preview/penetration-tester</t>
  </si>
  <si>
    <t>Free, hands-on web security labs covering SQLi, XSS, SSRF, access control and more</t>
  </si>
  <si>
    <t>https://portswigger.net/web-security</t>
  </si>
  <si>
    <t>Microsoft SC-200 study guide</t>
  </si>
  <si>
    <t>Current Microsoft security-operations objectives including triage, incident response, threat hunting and detections</t>
  </si>
  <si>
    <t>https://learn.microsoft.com/en-us/credentials/certifications/resources/study-guides/sc-200</t>
  </si>
  <si>
    <t>Cybersecurity Framework</t>
  </si>
  <si>
    <t>Map offensive behaviour to defender detections and threat hunting</t>
  </si>
  <si>
    <t>https://attack.mitre.org/</t>
  </si>
  <si>
    <t>Traffic capture and analysis</t>
  </si>
  <si>
    <t>https://www.wireshark.org/</t>
  </si>
  <si>
    <t>Programming</t>
  </si>
  <si>
    <t>Python Docs</t>
  </si>
  <si>
    <t>Reference for automation and security tooling</t>
  </si>
  <si>
    <t>https://docs.python.org/3/</t>
  </si>
  <si>
    <t>Web</t>
  </si>
  <si>
    <t>OWASP</t>
  </si>
  <si>
    <t>Web application security guidance and Top 10</t>
  </si>
  <si>
    <t>https://owasp.org/</t>
  </si>
  <si>
    <t>Hands-on Linux command line foundations</t>
  </si>
  <si>
    <t>https://academy.hackthebox.com/</t>
  </si>
  <si>
    <t>Version control, README and project publishing guidance</t>
  </si>
  <si>
    <t>https://docs.github.com/</t>
  </si>
  <si>
    <t>Certification Guidance</t>
  </si>
  <si>
    <t>Priority order</t>
  </si>
  <si>
    <t>Network+ → Security+ → CySA+/SC-200 → OSCP+</t>
  </si>
  <si>
    <t>Project 25 prioritises practical capability over certificate count.</t>
  </si>
  <si>
    <t>Linux+</t>
  </si>
  <si>
    <t>Useful if Linux becomes a stronger career focus</t>
  </si>
  <si>
    <t>Do not delay Network+/Security+ for Linux+.</t>
  </si>
  <si>
    <t>Not required for this roadmap</t>
  </si>
  <si>
    <t>Use practical labs and projects instead; revisit only if a specific employer requires it.</t>
  </si>
  <si>
    <t>Bug bounty</t>
  </si>
  <si>
    <t>Optional track</t>
  </si>
  <si>
    <t>Only test programs with explicit scope and permission</t>
  </si>
  <si>
    <t>Never perform unsolicited 'free audits' on businesses.</t>
  </si>
  <si>
    <t>Ethical Testing</t>
  </si>
  <si>
    <t>Authorisation</t>
  </si>
  <si>
    <t>Only test systems you own or have explicit written permission to assess.</t>
  </si>
  <si>
    <t>Keep scope and rules of engagement in every project README.</t>
  </si>
  <si>
    <t>Safe learning</t>
  </si>
  <si>
    <t>Use only programs with explicit scope, rate limits and disclosure rules.</t>
  </si>
  <si>
    <t>Never perform unsolicited testing against a business.</t>
  </si>
  <si>
    <t>Sanitisation</t>
  </si>
  <si>
    <t>Remove passwords, API keys, customer names, real public IPs and confidential logs.</t>
  </si>
  <si>
    <t>Use fictional/sanitised lab data.</t>
  </si>
  <si>
    <t>SC-900 — Security, Compliance, and Identity Fundamentals</t>
  </si>
  <si>
    <t>https://learn.microsoft.com/en-us/credentials/certifications/exams/sc-900/</t>
  </si>
  <si>
    <t>Microsoft identity/security fundamentals, including Entra, Defender, Sentinel and Purview</t>
  </si>
  <si>
    <t>SC-300 — Identity and Access Administrator</t>
  </si>
  <si>
    <t>https://learn.microsoft.com/en-us/credentials/certifications/identity-and-access-administrator/</t>
  </si>
  <si>
    <t>Entra ID, authentication, RBAC, Conditional Access, governance and hybrid identity</t>
  </si>
  <si>
    <t>AZ-104 — Azure Administrator</t>
  </si>
  <si>
    <t>https://learn.microsoft.com/en-us/credentials/certifications/azure-administrator/</t>
  </si>
  <si>
    <t>Azure compute, networking, storage, identity, governance and monitoring</t>
  </si>
  <si>
    <t>SC-200 — Security Operations Analyst</t>
  </si>
  <si>
    <t>https://learn.microsoft.com/en-us/credentials/certifications/security-operations-analyst/</t>
  </si>
  <si>
    <t>Sentinel, Defender XDR, KQL, threat hunting, incident response and detection engineering</t>
  </si>
  <si>
    <t>MD-102 — Endpoint Administrator</t>
  </si>
  <si>
    <t>https://learn.microsoft.com/en-us/credentials/certifications/modern-desktop/</t>
  </si>
  <si>
    <t>Intune, Defender for Endpoint, Entra, Windows 365 and Azure Virtual Desktop</t>
  </si>
  <si>
    <t>Microsoft Entra Introduction</t>
  </si>
  <si>
    <t>https://learn.microsoft.com/en-us/training/paths/describe-capabilities-of-microsoft-identity-access/</t>
  </si>
  <si>
    <t>Beginner Entra ID learning path</t>
  </si>
  <si>
    <t>AZ-800 / AZ-801 retirement notice</t>
  </si>
  <si>
    <t>https://learn.microsoft.com/en-us/credentials/certifications/exams/az-800/</t>
  </si>
  <si>
    <t>Legacy Windows Server Hybrid Administrator exams retire September 30, 2026; do not make them a long-term Project 25 target</t>
  </si>
  <si>
    <t>AZ-500 retirement / SC-500 transition</t>
  </si>
  <si>
    <t>https://learn.microsoft.com/en-us/partner-center/announcements/2026-may</t>
  </si>
  <si>
    <t>AZ-500 retires August 31, 2026; SC-500 is the future direction</t>
  </si>
  <si>
    <t>Deep networking foundation covering network fundamentals, access, IP connectivity, IP services, security fundamentals and automation</t>
  </si>
  <si>
    <t>https://www.cisco.com/site/us/en/learn/training-certifications/exams/ccna.html</t>
  </si>
  <si>
    <t>Current Microsoft Cloud and AI Security Engineer Associate direction for cloud/hybrid security</t>
  </si>
  <si>
    <t>https://learn.microsoft.com/en-us/credentials/certifications/cloud-and-ai-security-engineer-associate/</t>
  </si>
  <si>
    <t>Microsoft SC-500 study guide</t>
  </si>
  <si>
    <t>Identity, network, storage, compute, posture and Sentinel/Defender-oriented cloud security skills</t>
  </si>
  <si>
    <t>https://learn.microsoft.com/en-us/credentials/certifications/resources/study-guides/sc-500</t>
  </si>
  <si>
    <t>REMnux</t>
  </si>
  <si>
    <t>Curated Linux toolkit for static analysis, dynamic analysis, memory forensics and network behaviour analysis</t>
  </si>
  <si>
    <t>https://remnux.org/</t>
  </si>
  <si>
    <t>Ghidra</t>
  </si>
  <si>
    <t>NSA Research Directorate software reverse-engineering framework with disassembly, decompilation, graphing and scripting</t>
  </si>
  <si>
    <t>https://github.com/NationalSecurityAgency/ghidra</t>
  </si>
  <si>
    <t>Ghidra Beginner Guide</t>
  </si>
  <si>
    <t>Official beginner-oriented training material for learning Ghidra</t>
  </si>
  <si>
    <t>https://github.com/NationalSecurityAgency/ghidra/blob/master/GhidraDocs/GhidraClass/Beginner/Introduction_to_Ghidra_Student_Guide.html</t>
  </si>
  <si>
    <t>PROJECT 25 — MICROSOFT / RDP / ENTRA SECURITY TRACK</t>
  </si>
  <si>
    <t>Built around your real RDP/Windows support experience. Goal: become strong in Windows Server, Active Directory, Microsoft Entra ID, Azure, Defender, Sentinel and Microsoft identity/security operations.</t>
  </si>
  <si>
    <t>TOTAL MISSIONS</t>
  </si>
  <si>
    <t>CERTS TARGETED</t>
  </si>
  <si>
    <t>Phase</t>
  </si>
  <si>
    <t>Skill / Mission</t>
  </si>
  <si>
    <t>Microsoft Resource</t>
  </si>
  <si>
    <t>GitHub Deliverable</t>
  </si>
  <si>
    <t>RDP internals</t>
  </si>
  <si>
    <t>RDP architecture, sessions, NLA, ports, Remote Desktop Services, authentication flow</t>
  </si>
  <si>
    <t>Map an RDP session from client to host in your lab and document security controls</t>
  </si>
  <si>
    <t>Microsoft Learn — Remote Desktop Services</t>
  </si>
  <si>
    <t>rdp-architecture.md</t>
  </si>
  <si>
    <t>Use only lab/authorised systems</t>
  </si>
  <si>
    <t>Windows Server</t>
  </si>
  <si>
    <t>Server administration basics</t>
  </si>
  <si>
    <t>Server roles, services, Event Viewer, local users/groups, scheduled tasks, services</t>
  </si>
  <si>
    <t>Build a Windows Server VM and document 20 admin/security commands</t>
  </si>
  <si>
    <t>Microsoft Learn — Windows Server</t>
  </si>
  <si>
    <t>windows-server-basics.md</t>
  </si>
  <si>
    <t>AD DS fundamentals</t>
  </si>
  <si>
    <t>Domain controllers, forests, domains, OUs, users, groups, GPO, DNS</t>
  </si>
  <si>
    <t>Build a small AD lab with DC01 + two clients; create OUs, groups and GPOs</t>
  </si>
  <si>
    <t>Microsoft Learn — AD DS</t>
  </si>
  <si>
    <t>ad-lab-build.md</t>
  </si>
  <si>
    <t>Remote administration</t>
  </si>
  <si>
    <t>Get-Command, Get-Service, Get-WinEvent, remoting concepts, error handling</t>
  </si>
  <si>
    <t>Create a safe PowerShell admin toolkit for your lab</t>
  </si>
  <si>
    <t>Microsoft Learn — PowerShell</t>
  </si>
  <si>
    <t>powershell-admin-toolkit.md</t>
  </si>
  <si>
    <t>Identity</t>
  </si>
  <si>
    <t>Entra ID</t>
  </si>
  <si>
    <t>Microsoft Entra basics</t>
  </si>
  <si>
    <t>Tenants, identities, roles, groups, MFA, Conditional Access, hybrid identity</t>
  </si>
  <si>
    <t>Create a Microsoft Entra study tenant/lab plan and map on-prem AD concepts to Entra</t>
  </si>
  <si>
    <t>Microsoft Learn — Introduction to Microsoft Entra</t>
  </si>
  <si>
    <t>entra-basics.md</t>
  </si>
  <si>
    <t>Entra ID is the current name for Azure AD</t>
  </si>
  <si>
    <t>Microsoft Security</t>
  </si>
  <si>
    <t>SCI fundamentals</t>
  </si>
  <si>
    <t>Zero Trust, identity as security perimeter, Defender, Sentinel, Purview concepts</t>
  </si>
  <si>
    <t>Map Microsoft security services to common helpdesk/security incidents</t>
  </si>
  <si>
    <t>Microsoft Learn — SC-900</t>
  </si>
  <si>
    <t>microsoft-security-map.md</t>
  </si>
  <si>
    <t>Authentication &amp; access</t>
  </si>
  <si>
    <t>MFA, SSPR, Conditional Access, RBAC, PIM, access reviews</t>
  </si>
  <si>
    <t>Design a secure sign-in policy set for a fictional SMB</t>
  </si>
  <si>
    <t>Microsoft Learn — SC-900 / Entra</t>
  </si>
  <si>
    <t>entra-access-design.md</t>
  </si>
  <si>
    <t>Cloud</t>
  </si>
  <si>
    <t>Azure</t>
  </si>
  <si>
    <t>Subscriptions, resource groups, regions, VNets, NSGs, storage, VMs</t>
  </si>
  <si>
    <t>Deploy a small Azure lab VM and document the network/security path</t>
  </si>
  <si>
    <t>Microsoft Learn — Azure Fundamentals</t>
  </si>
  <si>
    <t>azure-lab.md</t>
  </si>
  <si>
    <t>AZ-900</t>
  </si>
  <si>
    <t>AZ-900 is optional if you are comfortable with Azure fundamentals</t>
  </si>
  <si>
    <t>Azure Admin</t>
  </si>
  <si>
    <t>Compute + networking</t>
  </si>
  <si>
    <t>VMs, VNets, subnets, NSGs, public/private IPs, storage, monitoring</t>
  </si>
  <si>
    <t>Build a secure Azure test environment using least exposure</t>
  </si>
  <si>
    <t>Microsoft Learn — AZ-104</t>
  </si>
  <si>
    <t>azure-vm-network.md</t>
  </si>
  <si>
    <t>AD ↔ Entra concepts</t>
  </si>
  <si>
    <t>Entra Connect/Cloud Sync concepts, identities, device identity, hybrid join</t>
  </si>
  <si>
    <t>Create a diagram showing user/device identity flow in a hybrid environment</t>
  </si>
  <si>
    <t>Microsoft Learn — SC-300</t>
  </si>
  <si>
    <t>hybrid-identity.md</t>
  </si>
  <si>
    <t>Microsoft Defender</t>
  </si>
  <si>
    <t>Defender ecosystem</t>
  </si>
  <si>
    <t>Defender for Endpoint, Defender XDR, Defender for Identity, Defender for Cloud concepts</t>
  </si>
  <si>
    <t>Map a Windows incident to the relevant Microsoft Defender product</t>
  </si>
  <si>
    <t>Microsoft Learn — SC-900 / SC-200</t>
  </si>
  <si>
    <t>defender-product-map.md</t>
  </si>
  <si>
    <t>Sentinel</t>
  </si>
  <si>
    <t>SIEM fundamentals</t>
  </si>
  <si>
    <t>Connectors, analytics rules, incidents, workbooks, automation, KQL</t>
  </si>
  <si>
    <t>Ingest Windows/security logs into a Sentinel lab and build one alert</t>
  </si>
  <si>
    <t>Microsoft Learn — SC-200</t>
  </si>
  <si>
    <t>sentinel-lab.md</t>
  </si>
  <si>
    <t>Microsoft security hunting</t>
  </si>
  <si>
    <t>where, project, summarize, extend, joins, time filtering</t>
  </si>
  <si>
    <t>Write 10 KQL queries against lab data and explain each query</t>
  </si>
  <si>
    <t>Microsoft Learn — KQL / SC-200</t>
  </si>
  <si>
    <t>kql-microsoft.md</t>
  </si>
  <si>
    <t>Entra Security</t>
  </si>
  <si>
    <t>Conditional Access</t>
  </si>
  <si>
    <t>Named locations, device/user conditions, risk concepts, MFA, session controls</t>
  </si>
  <si>
    <t>Design and document a Conditional Access baseline for a fictional tenant</t>
  </si>
  <si>
    <t>conditional-access-baseline.md</t>
  </si>
  <si>
    <t>Entra Governance</t>
  </si>
  <si>
    <t>Privileged Identity</t>
  </si>
  <si>
    <t>RBAC, PIM, access reviews, least privilege, identity governance</t>
  </si>
  <si>
    <t>Create a privileged-access model for the lab</t>
  </si>
  <si>
    <t>entra-pim-model.md</t>
  </si>
  <si>
    <t>Azure monitoring + governance</t>
  </si>
  <si>
    <t>Azure Monitor, Log Analytics, resource locks, Policy, tags, cost/security basics</t>
  </si>
  <si>
    <t>Create a governance checklist for your Azure lab</t>
  </si>
  <si>
    <t>azure-governance.md</t>
  </si>
  <si>
    <t>Endpoint</t>
  </si>
  <si>
    <t>Intune / Windows 365</t>
  </si>
  <si>
    <t>Modern endpoint concepts</t>
  </si>
  <si>
    <t>Intune, Entra device identity, Windows 365, Azure Virtual Desktop concepts</t>
  </si>
  <si>
    <t>Document how a managed Windows endpoint connects to identity and security controls</t>
  </si>
  <si>
    <t>Microsoft Learn — MD-102</t>
  </si>
  <si>
    <t>modern-endpoint.md</t>
  </si>
  <si>
    <t>MD-102 is a strategic optional cert for your IT-to-security path</t>
  </si>
  <si>
    <t>Microsoft SOC</t>
  </si>
  <si>
    <t>Incident response</t>
  </si>
  <si>
    <t>Triage, incidents, Defender XDR, Sentinel investigations, response actions</t>
  </si>
  <si>
    <t>Run a simulated compromise and investigate it using Microsoft telemetry concepts</t>
  </si>
  <si>
    <t>microsoft-ir.md</t>
  </si>
  <si>
    <t>RDP / Security</t>
  </si>
  <si>
    <t>RDP Hardening</t>
  </si>
  <si>
    <t>Secure remote access</t>
  </si>
  <si>
    <t>NLA, MFA/RD Gateway concepts, firewall rules, lockout policy, logging, patching, privileged access</t>
  </si>
  <si>
    <t>Create an RDP hardening standard for a fictional client environment</t>
  </si>
  <si>
    <t>Microsoft security guidance</t>
  </si>
  <si>
    <t>rdp-hardening-standard.md</t>
  </si>
  <si>
    <t>Do not expose lab RDP directly to the internet</t>
  </si>
  <si>
    <t>Windows Security</t>
  </si>
  <si>
    <t>Sysinternals</t>
  </si>
  <si>
    <t>Autoruns, Process Explorer, TCPView, PsExec concepts, Procmon, Sigcheck</t>
  </si>
  <si>
    <t>Use Sysinternals in your lab to investigate a simulated suspicious endpoint</t>
  </si>
  <si>
    <t>Microsoft Sysinternals</t>
  </si>
  <si>
    <t>sysinternals-investigation.md</t>
  </si>
  <si>
    <t>AD Security</t>
  </si>
  <si>
    <t>Kerberos + identity attacks</t>
  </si>
  <si>
    <t>Kerberos/NTLM concepts, service accounts, delegation, authentication telemetry</t>
  </si>
  <si>
    <t>Map common AD attack techniques to Microsoft detection points</t>
  </si>
  <si>
    <t>Microsoft Learn + MITRE ATT&amp;CK</t>
  </si>
  <si>
    <t>ad-identity-detections.md</t>
  </si>
  <si>
    <t>SC-300 / SC-200</t>
  </si>
  <si>
    <t>Microsoft Portfolio</t>
  </si>
  <si>
    <t>Enterprise case study</t>
  </si>
  <si>
    <t>Combine RDP, Windows Server, AD, Entra, Azure and security into one scenario</t>
  </si>
  <si>
    <t>Publish a fully sanitised architecture + security case study</t>
  </si>
  <si>
    <t>GitHub + Microsoft Learn</t>
  </si>
  <si>
    <t>microsoft-enterprise-case-study.md</t>
  </si>
  <si>
    <t>Microsoft Identity</t>
  </si>
  <si>
    <t>SC-300 readiness</t>
  </si>
  <si>
    <t>Review identity lifecycle, authentication, authorization, governance, hybrid identity</t>
  </si>
  <si>
    <t>Complete practice assessment and close knowledge gaps</t>
  </si>
  <si>
    <t>sc300-readiness.md</t>
  </si>
  <si>
    <t>SC-200 readiness</t>
  </si>
  <si>
    <t>Triage, KQL, Sentinel, Defender XDR, threat hunting, detection engineering</t>
  </si>
  <si>
    <t>Complete SC-200 practice assessment and build a final detection pack</t>
  </si>
  <si>
    <t>sc200-readiness.md</t>
  </si>
  <si>
    <t>AZ-104 readiness</t>
  </si>
  <si>
    <t>Compute, networking, storage, identity, governance, monitoring</t>
  </si>
  <si>
    <t>Complete AZ-104 practice assessment and deploy final Azure lab</t>
  </si>
  <si>
    <t>az104-readiness.md</t>
  </si>
  <si>
    <t>Advanced</t>
  </si>
  <si>
    <t>Detection engineering</t>
  </si>
  <si>
    <t>Sigma-style thinking, KQL, Defender/Sentinel detections, ATT&amp;CK mapping</t>
  </si>
  <si>
    <t>Build 10 Microsoft-focused detections for your lab</t>
  </si>
  <si>
    <t>SC-200 + MITRE</t>
  </si>
  <si>
    <t>microsoft-detections-v1.md</t>
  </si>
  <si>
    <t>Azure Security</t>
  </si>
  <si>
    <t>Cloud security engineering</t>
  </si>
  <si>
    <t>Defender for Cloud, Key Vault, NSGs, workload identity, secure VM design</t>
  </si>
  <si>
    <t>Perform a cloud security review of your Azure lab</t>
  </si>
  <si>
    <t>azure-security-review.md</t>
  </si>
  <si>
    <t>Microsoft 365</t>
  </si>
  <si>
    <t>Tenant security</t>
  </si>
  <si>
    <t>Entra, Defender XDR, Purview, Secure Score concepts</t>
  </si>
  <si>
    <t>Create a fictional Microsoft 365 security baseline</t>
  </si>
  <si>
    <t>Microsoft Learn — MS-102</t>
  </si>
  <si>
    <t>m365-security-baseline.md</t>
  </si>
  <si>
    <t>MS-102</t>
  </si>
  <si>
    <t>Optional long-term M365 track</t>
  </si>
  <si>
    <t>Endpoint security</t>
  </si>
  <si>
    <t>Intune policies, Defender for Endpoint, device compliance, app control</t>
  </si>
  <si>
    <t>Secure a Windows endpoint policy set in your lab</t>
  </si>
  <si>
    <t>endpoint-security-baseline.md</t>
  </si>
  <si>
    <t>Microsoft Attack/Defend</t>
  </si>
  <si>
    <t>AD + Entra attack detection</t>
  </si>
  <si>
    <t>Attack-path thinking across on-prem AD and Entra; identity telemetry</t>
  </si>
  <si>
    <t>Run an authorised identity attack simulation and validate detections</t>
  </si>
  <si>
    <t>HTB + Microsoft Learn + MITRE</t>
  </si>
  <si>
    <t>ad-entra-purple-team.md</t>
  </si>
  <si>
    <t>Lab only</t>
  </si>
  <si>
    <t>Microsoft Security Automation</t>
  </si>
  <si>
    <t>Graph/API automation</t>
  </si>
  <si>
    <t>Microsoft Graph concepts, REST APIs, PowerShell/Python automation, response workflows</t>
  </si>
  <si>
    <t>Build a safe lab automation tool for alert enrichment or account checks</t>
  </si>
  <si>
    <t>Microsoft Graph + Python/PowerShell</t>
  </si>
  <si>
    <t>microsoft-security-automation.md</t>
  </si>
  <si>
    <t>Enterprise Microsoft Security</t>
  </si>
  <si>
    <t>Full hybrid environment</t>
  </si>
  <si>
    <t>Windows Server + AD + Entra + Azure + Sentinel + Defender + RDP</t>
  </si>
  <si>
    <t>Build and document the Project 25 Microsoft enterprise cyber range</t>
  </si>
  <si>
    <t>project25-microsoft-cyber-range.md</t>
  </si>
  <si>
    <t>MICROSOFT CERTIFICATION LADDER — RECOMMENDED ORDER</t>
  </si>
  <si>
    <t>Order</t>
  </si>
  <si>
    <t>Credential</t>
  </si>
  <si>
    <t>Why it fits you</t>
  </si>
  <si>
    <t>Recommended Timing</t>
  </si>
  <si>
    <t>Current Microsoft focus</t>
  </si>
  <si>
    <t>Fast foundation for Entra, Defender, Sentinel and Microsoft security vocabulary</t>
  </si>
  <si>
    <t>Late 2026 / Early 2027</t>
  </si>
  <si>
    <t>Entra ID, Zero Trust, Defender, Sentinel, Purview</t>
  </si>
  <si>
    <t>AZ-900 — Azure Fundamentals</t>
  </si>
  <si>
    <t>Useful Azure foundation before deeper administration; optional if AZ-104 study already covers the material</t>
  </si>
  <si>
    <t>MEDIUM</t>
  </si>
  <si>
    <t>2027</t>
  </si>
  <si>
    <t>Azure core services, networking, identity, governance</t>
  </si>
  <si>
    <t>SC-300 — Identity and Access Administrator Associate</t>
  </si>
  <si>
    <t>Directly builds Azure AD/Entra identity, authentication, RBAC, Conditional Access and hybrid identity skills</t>
  </si>
  <si>
    <t>2027–2028</t>
  </si>
  <si>
    <t>Microsoft Entra ID</t>
  </si>
  <si>
    <t>AZ-104 — Azure Administrator Associate</t>
  </si>
  <si>
    <t>Turns your server/RDP experience into Azure administration capability</t>
  </si>
  <si>
    <t>Azure compute, networking, storage, monitoring, identity</t>
  </si>
  <si>
    <t>SC-200 — Security Operations Analyst Associate</t>
  </si>
  <si>
    <t>Direct bridge from SOC ambitions to Sentinel, Defender XDR, KQL, hunting, response and detections</t>
  </si>
  <si>
    <t>Sentinel, Defender XDR, Entra, KQL</t>
  </si>
  <si>
    <t>MD-102 — Endpoint Administrator Associate</t>
  </si>
  <si>
    <t>Strong optional fit for your Windows/IT background; includes Intune, Defender for Endpoint, Entra, AVD and Windows 365</t>
  </si>
  <si>
    <t>2028+</t>
  </si>
  <si>
    <t>Endpoint security + management</t>
  </si>
  <si>
    <t>MS-102 — Microsoft 365 Administrator</t>
  </si>
  <si>
    <t>Optional advanced M365 track; combines tenant admin, Entra, Defender XDR and Purview</t>
  </si>
  <si>
    <t>M365 security/admin</t>
  </si>
  <si>
    <t>SC-500 — Cloud and AI Security Engineer Associate</t>
  </si>
  <si>
    <t>Future advanced option after Azure + security foundations; replaces the retiring AZ-500 direction</t>
  </si>
  <si>
    <t>OPTIONAL / FUTURE</t>
  </si>
  <si>
    <t>2029+</t>
  </si>
  <si>
    <t>Cloud and AI security</t>
  </si>
  <si>
    <t>PROJECT 25 — MY CERTIFICATION WALLET</t>
  </si>
  <si>
    <t>CUSTOM CERT STATS</t>
  </si>
  <si>
    <t>Add any certification you discover as your career develops. This is your flexible wishlist/tracker — it does not change the core roadmap unless you decide it should.</t>
  </si>
  <si>
    <t>Planned / Studying</t>
  </si>
  <si>
    <t>Provider</t>
  </si>
  <si>
    <t>Target Date</t>
  </si>
  <si>
    <t>Exam / Renewal</t>
  </si>
  <si>
    <t>Link / Source</t>
  </si>
  <si>
    <t>High+ Priority</t>
  </si>
  <si>
    <t>Slots Used</t>
  </si>
  <si>
    <t>Cisco</t>
  </si>
  <si>
    <t>Mid/late 2027</t>
  </si>
  <si>
    <t>Target immediately after Security+; use the current exam version when you are ready.</t>
  </si>
  <si>
    <t>Microsoft</t>
  </si>
  <si>
    <t>Cloud / AI Security</t>
  </si>
  <si>
    <t>Future cloud-security path; revisit exam status before committing.</t>
  </si>
  <si>
    <t>TBD</t>
  </si>
  <si>
    <t>Not required. Pick based on the market and training available at the time.</t>
  </si>
  <si>
    <t>Custom Future Certification</t>
  </si>
  <si>
    <t>Add provider</t>
  </si>
  <si>
    <t>Add domain</t>
  </si>
  <si>
    <t>Use this row for something you discover later.</t>
  </si>
  <si>
    <t>PROJECT 25 — SCRIPTING, AUTOMATION &amp; FUTURE SOFTWARE DEVELOPMENT</t>
  </si>
  <si>
    <t>Security-first programming now; broader software development later. PowerShell/Bash are operational tools, Python is your primary security language, and Year 6+ adds C# / C++ / Java according to career needs.</t>
  </si>
  <si>
    <t>Timeframe</t>
  </si>
  <si>
    <t>Language / Tool</t>
  </si>
  <si>
    <t>CLI + discovery</t>
  </si>
  <si>
    <t>Use Get-Command/Get-Help/Get-Process/Get-Service and explain each</t>
  </si>
  <si>
    <t>powershell-basics.md</t>
  </si>
  <si>
    <t>Objects + pipeline</t>
  </si>
  <si>
    <t>Build a script that inventories services/processes in your lab</t>
  </si>
  <si>
    <t>powershell-objects-pipeline.md</t>
  </si>
  <si>
    <t>Files + permissions</t>
  </si>
  <si>
    <t>Write a safe file-audit script for your lab</t>
  </si>
  <si>
    <t>powershell-file-audit.ps1</t>
  </si>
  <si>
    <t>Event logs</t>
  </si>
  <si>
    <t>Build a Windows Event Log triage script</t>
  </si>
  <si>
    <t>powershell-event-triage.ps1</t>
  </si>
  <si>
    <t>Remoting concepts</t>
  </si>
  <si>
    <t>Document WinRM/PowerShell Remoting and safe lab use</t>
  </si>
  <si>
    <t>powershell-remoting-notes.md</t>
  </si>
  <si>
    <t>Linux automation</t>
  </si>
  <si>
    <t>Create a system-health script for a Linux VM</t>
  </si>
  <si>
    <t>linux-health-check.sh</t>
  </si>
  <si>
    <t>Core syntax</t>
  </si>
  <si>
    <t>Build 3 tiny utilities: args, files, JSON</t>
  </si>
  <si>
    <t>python-foundations.md</t>
  </si>
  <si>
    <t>Build an authorised lab port/service scanner</t>
  </si>
  <si>
    <t>python-lab-scanner</t>
  </si>
  <si>
    <t>Logs / regex</t>
  </si>
  <si>
    <t>Parse Windows or Linux logs and extract useful fields</t>
  </si>
  <si>
    <t>APIs</t>
  </si>
  <si>
    <t>Consume a public security API and enrich an IOC in a lab workflow</t>
  </si>
  <si>
    <t>python-api-enricher</t>
  </si>
  <si>
    <t>Security administration</t>
  </si>
  <si>
    <t>Build a lab toolkit for account/service/event checks</t>
  </si>
  <si>
    <t>powershell-security-toolkit</t>
  </si>
  <si>
    <t>Turn a repeatable SOC task into a command-line tool</t>
  </si>
  <si>
    <t>soc-automation-cli</t>
  </si>
  <si>
    <t>Modules + packaging</t>
  </si>
  <si>
    <t>Package one tool cleanly with README and tests</t>
  </si>
  <si>
    <t>python-package-v1</t>
  </si>
  <si>
    <t>Testing</t>
  </si>
  <si>
    <t>Add unit tests and input validation to a security tool</t>
  </si>
  <si>
    <t>python-tests</t>
  </si>
  <si>
    <t>Concurrency</t>
  </si>
  <si>
    <t>Use threads/async concepts for safe lab automation</t>
  </si>
  <si>
    <t>python-concurrency</t>
  </si>
  <si>
    <t>Advanced automation</t>
  </si>
  <si>
    <t>Create structured logging, error handling and config support</t>
  </si>
  <si>
    <t>powershell-automation-v2</t>
  </si>
  <si>
    <t>Security engineering</t>
  </si>
  <si>
    <t>Build a small alert enrichment/triage service</t>
  </si>
  <si>
    <t>alert-enrichment-service</t>
  </si>
  <si>
    <t>AD automation</t>
  </si>
  <si>
    <t>Create safe lab scripts for inventory and audit reporting</t>
  </si>
  <si>
    <t>ad-audit-toolkit</t>
  </si>
  <si>
    <t>APIs + automation</t>
  </si>
  <si>
    <t>Integrate SIEM/threat-intel style workflows in a lab</t>
  </si>
  <si>
    <t>security-automation-engine</t>
  </si>
  <si>
    <t>Python + PowerShell</t>
  </si>
  <si>
    <t>Cross-platform</t>
  </si>
  <si>
    <t>Build a workflow that coordinates Linux and Windows telemetry</t>
  </si>
  <si>
    <t>cross-platform-security-tool</t>
  </si>
  <si>
    <t>Production thinking</t>
  </si>
  <si>
    <t>Refactor a project for configuration, logging, tests and documentation</t>
  </si>
  <si>
    <t>production-ready-security-tool</t>
  </si>
  <si>
    <t>Build a security automation component for the Project 25 cyber range</t>
  </si>
  <si>
    <t>project25-security-automation</t>
  </si>
  <si>
    <t>Post-2031</t>
  </si>
  <si>
    <t>C#</t>
  </si>
  <si>
    <t>Microsoft software development</t>
  </si>
  <si>
    <t>Learn C#/.NET fundamentals and build a small admin/security application</t>
  </si>
  <si>
    <t>csharp-security-app</t>
  </si>
  <si>
    <t>Recommended first general-purpose language after Python due Microsoft ecosystem</t>
  </si>
  <si>
    <t>Systems programming</t>
  </si>
  <si>
    <t>Learn memory, pointers, compilation and a small systems/security project</t>
  </si>
  <si>
    <t>cpp-systems-project</t>
  </si>
  <si>
    <t>Use after fundamentals are solid</t>
  </si>
  <si>
    <t>Enterprise development</t>
  </si>
  <si>
    <t>Learn OOP, APIs and a small backend application</t>
  </si>
  <si>
    <t>java-enterprise-project</t>
  </si>
  <si>
    <t>Optional; pick based on career direction</t>
  </si>
  <si>
    <t>Software Engineering</t>
  </si>
  <si>
    <t>Architecture</t>
  </si>
  <si>
    <t>Git workflows, testing, CI/CD, APIs, databases, secure coding</t>
  </si>
  <si>
    <t>software-engineering-foundations</t>
  </si>
  <si>
    <t>Year 6+ objective, not a current priority</t>
  </si>
  <si>
    <t>2032</t>
  </si>
  <si>
    <t>C</t>
  </si>
  <si>
    <t>Systems fundamentals</t>
  </si>
  <si>
    <t>Learn memory, pointers, structs, compilation and debugging basics</t>
  </si>
  <si>
    <t>c-systems-foundations</t>
  </si>
  <si>
    <t>Bridge into malware RE</t>
  </si>
  <si>
    <t>Systems / Windows</t>
  </si>
  <si>
    <t>Build a small Windows systems utility and study executable structure</t>
  </si>
  <si>
    <t>cpp-windows-systems-project</t>
  </si>
  <si>
    <t>Supports reverse engineering</t>
  </si>
  <si>
    <t>Assembly</t>
  </si>
  <si>
    <t>x86-64 fundamentals</t>
  </si>
  <si>
    <t>Registers, stack, calling conventions, control flow and common instructions</t>
  </si>
  <si>
    <t>x64-assembly-notes.md</t>
  </si>
  <si>
    <t>Core RE prerequisite</t>
  </si>
  <si>
    <t>Static reverse engineering</t>
  </si>
  <si>
    <t>Analyse benign training binaries and document functions/control flow</t>
  </si>
  <si>
    <t>ghidra-analysis-project</t>
  </si>
  <si>
    <t>Use official Ghidra material</t>
  </si>
  <si>
    <t>x64dbg / WinDbg</t>
  </si>
  <si>
    <t>Dynamic analysis</t>
  </si>
  <si>
    <t>Set breakpoints, inspect registers/memory, trace execution in a safe lab</t>
  </si>
  <si>
    <t>debugger-analysis-project</t>
  </si>
  <si>
    <t>Lab-only</t>
  </si>
  <si>
    <t>Malware analysis</t>
  </si>
  <si>
    <t>Build an isolated analysis environment and perform static/dynamic triage</t>
  </si>
  <si>
    <t>remnux-malware-lab</t>
  </si>
  <si>
    <t>Use benign/CTF samples only</t>
  </si>
  <si>
    <t>2032+</t>
  </si>
  <si>
    <t>Python + Ghidra</t>
  </si>
  <si>
    <t>RE automation</t>
  </si>
  <si>
    <t>Automate triage or metadata extraction from training binaries</t>
  </si>
  <si>
    <t>ghidra-python-automation</t>
  </si>
  <si>
    <t>Leverages your earlier Python skills</t>
  </si>
  <si>
    <t>PROJECT 25 — BEYOND 25 / YEAR 6+ EXTENSION</t>
  </si>
  <si>
    <t>CCNA has been moved into Project 25 (target: after Security+ in 2027). This sheet is reserved for deeper post-25 specialisations such as cloud security engineering, malware analysis and reverse engineering.</t>
  </si>
  <si>
    <t>Suggested Tools / Study</t>
  </si>
  <si>
    <t>Jan–Mar 2032</t>
  </si>
  <si>
    <t>Azure security engineering</t>
  </si>
  <si>
    <t>Identity + network + workload security</t>
  </si>
  <si>
    <t>Perform a security review of an Azure lab: IAM, NSGs, Key Vault, logging, Defender for Cloud</t>
  </si>
  <si>
    <t>azure-cloud-security-review.md</t>
  </si>
  <si>
    <t>Microsoft Learn / SC-500</t>
  </si>
  <si>
    <t>Mar–Apr 2032</t>
  </si>
  <si>
    <t>Fundamentals</t>
  </si>
  <si>
    <t>Static triage</t>
  </si>
  <si>
    <t>Build an isolated malware-analysis VM workflow and analyse benign training samples / CTF samples</t>
  </si>
  <si>
    <t>malware-static-triage.md</t>
  </si>
  <si>
    <t>REMnux / PEStudio / strings / hashes</t>
  </si>
  <si>
    <t>Apr–May 2032</t>
  </si>
  <si>
    <t>Behavioural analysis</t>
  </si>
  <si>
    <t>Observe process, file, registry and network behaviour in an isolated lab</t>
  </si>
  <si>
    <t>malware-dynamic-analysis.md</t>
  </si>
  <si>
    <t>REMnux / Procmon / Wireshark / sandboxing</t>
  </si>
  <si>
    <t>May–Jul 2032</t>
  </si>
  <si>
    <t>Assembly + Windows internals</t>
  </si>
  <si>
    <t>x86-64 basics</t>
  </si>
  <si>
    <t>Learn registers, calling conventions, stack/heap concepts and basic Windows executable structure</t>
  </si>
  <si>
    <t>reverse-engineering-foundations.md</t>
  </si>
  <si>
    <t>x64-64dbg / Ghidra / WinDbg</t>
  </si>
  <si>
    <t>Jul–Aug 2032</t>
  </si>
  <si>
    <t>Reverse a small benign binary and document functions, control flow and key behaviours</t>
  </si>
  <si>
    <t>ghidra-beginner-analysis.md</t>
  </si>
  <si>
    <t>Ghidra / official Ghidra training</t>
  </si>
  <si>
    <t>Aug–Sep 2032</t>
  </si>
  <si>
    <t>Debugging</t>
  </si>
  <si>
    <t>Dynamic reverse engineering</t>
  </si>
  <si>
    <t>Debug a benign training binary and correlate code with runtime behaviour</t>
  </si>
  <si>
    <t>debugging-training-binary.md</t>
  </si>
  <si>
    <t>x64dbg / WinDbg / Ghidra</t>
  </si>
  <si>
    <t>Sep–Oct 2032</t>
  </si>
  <si>
    <t>Malware Research</t>
  </si>
  <si>
    <t>RE scripting</t>
  </si>
  <si>
    <t>Write a small Python/Ghidra helper for triage or metadata extraction</t>
  </si>
  <si>
    <t>malware-re-automation.md</t>
  </si>
  <si>
    <t>Python / Ghidra scripting</t>
  </si>
  <si>
    <t>Oct 2032+</t>
  </si>
  <si>
    <t>Deeper engineering</t>
  </si>
  <si>
    <t>C/C++ + secure systems</t>
  </si>
  <si>
    <t>Build a small systems/security project and learn memory-safe/unsafe trade-offs</t>
  </si>
  <si>
    <t>systems-security-project.md</t>
  </si>
  <si>
    <t>C/C++ / Visual Studio / CMake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</si>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</sst>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11111"/>
      <name val="Carlito"/>
    </font>
    <font>
      <sz val="11"/>
      <color rgb="FF111111"/>
      <name val="Carlito"/>
    </font>
    <font>
      <b/>
      <sz val="13"/>
      <color rgb="FFFFFFFF"/>
      <name val="Carlito"/>
    </font>
    <font>
      <b/>
      <sz val="16"/>
      <color rgb="FFFFFFFF"/>
      <name val="Carlito"/>
    </font>
    <font>
      <i/>
      <sz val="10"/>
      <color rgb="FFFFFFFF"/>
      <name val="Carlito"/>
    </font>
    <font>
      <sz val="11"/>
      <color rgb="FFFFFFFF"/>
      <name val="Carlito"/>
    </font>
    <font>
      <b/>
      <sz val="11"/>
      <name val="Carlito"/>
    </font>
    <font>
      <b/>
      <sz val="11"/>
      <color rgb="FF6B7280"/>
      <name val="Carlito"/>
    </font>
    <font>
      <i/>
      <sz val="9"/>
      <color rgb="FF4B5563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i/>
      <sz val="11"/>
      <color rgb="FFFFFFFF"/>
      <name val="Carlito"/>
    </font>
    <font>
      <b/>
      <sz val="14"/>
      <color rgb="FFFFFFFF"/>
      <name val="Carlito"/>
    </font>
    <font>
      <sz val="11"/>
      <color rgb="FFF9FAFB"/>
      <name val="Carlito"/>
    </font>
  </fonts>
  <fills count="25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D32F2F"/>
      </patternFill>
    </fill>
    <fill>
      <patternFill patternType="solid">
        <fgColor rgb="FF111111"/>
      </patternFill>
    </fill>
    <fill>
      <patternFill patternType="solid">
        <fgColor rgb="FFF5F5F5"/>
      </patternFill>
    </fill>
    <fill>
      <patternFill patternType="solid">
        <fgColor rgb="FF111111"/>
      </patternFill>
    </fill>
    <fill>
      <patternFill patternType="solid">
        <fgColor rgb="FF2B2B2B"/>
      </patternFill>
    </fill>
    <fill>
      <patternFill patternType="solid">
        <fgColor rgb="FFF3F4F6"/>
      </patternFill>
    </fill>
    <fill>
      <patternFill patternType="solid">
        <fgColor rgb="FFD32F2F"/>
      </patternFill>
    </fill>
    <fill>
      <patternFill patternType="solid">
        <fgColor rgb="FFF9FAFB"/>
      </patternFill>
    </fill>
    <fill>
      <patternFill patternType="solid">
        <fgColor rgb="FFFFF7ED"/>
      </patternFill>
    </fill>
    <fill>
      <patternFill patternType="solid">
        <fgColor rgb="FF111111"/>
      </patternFill>
    </fill>
    <fill>
      <patternFill patternType="solid">
        <fgColor rgb="FF2B2B2B"/>
      </patternFill>
    </fill>
    <fill>
      <patternFill patternType="solid">
        <fgColor rgb="FFD32F2F"/>
      </patternFill>
    </fill>
    <fill>
      <patternFill patternType="solid">
        <fgColor rgb="FF1E1E1E"/>
      </patternFill>
    </fill>
    <fill>
      <patternFill patternType="solid">
        <fgColor rgb="FF111111"/>
      </patternFill>
    </fill>
    <fill>
      <patternFill patternType="solid">
        <fgColor rgb="FFD32F2F"/>
      </patternFill>
    </fill>
    <fill>
      <patternFill patternType="solid">
        <fgColor rgb="FFF3F3F3"/>
      </patternFill>
    </fill>
    <fill>
      <patternFill patternType="solid">
        <fgColor rgb="FF111111"/>
      </patternFill>
    </fill>
    <fill>
      <patternFill patternType="solid">
        <fgColor rgb="FFD32F2F"/>
      </patternFill>
    </fill>
    <fill>
      <patternFill patternType="solid">
        <fgColor rgb="FF2B2B2B"/>
      </patternFill>
    </fill>
    <fill>
      <patternFill patternType="solid">
        <fgColor rgb="FFB91C1C"/>
      </patternFill>
    </fill>
    <fill>
      <patternFill patternType="solid">
        <fgColor rgb="FF111827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9" fontId="3" fillId="5" borderId="0" xfId="0" applyNumberFormat="1" applyFont="1" applyFill="1" applyAlignment="1">
      <alignment wrapText="1"/>
    </xf>
    <xf numFmtId="0" fontId="4" fillId="5" borderId="0" xfId="0" applyFont="1" applyFill="1"/>
    <xf numFmtId="9" fontId="4" fillId="5" borderId="0" xfId="0" applyNumberFormat="1" applyFont="1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3" fillId="5" borderId="0" xfId="0" applyNumberFormat="1" applyFont="1" applyFill="1" applyAlignment="1">
      <alignment wrapText="1"/>
    </xf>
    <xf numFmtId="1" fontId="0" fillId="0" borderId="0" xfId="0" applyNumberFormat="1" applyAlignment="1">
      <alignment vertical="center"/>
    </xf>
    <xf numFmtId="0" fontId="9" fillId="8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9" fontId="9" fillId="8" borderId="0" xfId="0" applyNumberFormat="1" applyFont="1" applyFill="1" applyAlignment="1">
      <alignment wrapText="1"/>
    </xf>
    <xf numFmtId="0" fontId="0" fillId="0" borderId="0" xfId="0" applyAlignment="1">
      <alignment vertical="top"/>
    </xf>
    <xf numFmtId="0" fontId="1" fillId="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9" borderId="0" xfId="0" applyFont="1" applyFill="1" applyAlignment="1">
      <alignment vertical="top"/>
    </xf>
    <xf numFmtId="0" fontId="0" fillId="10" borderId="0" xfId="0" applyFill="1" applyAlignment="1">
      <alignment vertical="top" wrapText="1"/>
    </xf>
    <xf numFmtId="0" fontId="1" fillId="9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9" fontId="3" fillId="8" borderId="0" xfId="0" applyNumberFormat="1" applyFont="1" applyFill="1" applyAlignment="1">
      <alignment horizontal="center" vertical="top" wrapText="1"/>
    </xf>
    <xf numFmtId="1" fontId="3" fillId="8" borderId="0" xfId="0" applyNumberFormat="1" applyFont="1" applyFill="1" applyAlignment="1">
      <alignment horizontal="center" vertical="top" wrapText="1"/>
    </xf>
    <xf numFmtId="0" fontId="12" fillId="6" borderId="0" xfId="0" applyFont="1" applyFill="1" applyAlignment="1">
      <alignment vertical="center" wrapText="1"/>
    </xf>
    <xf numFmtId="0" fontId="0" fillId="11" borderId="0" xfId="0" applyFill="1" applyAlignment="1">
      <alignment vertical="top" wrapText="1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9" fontId="1" fillId="15" borderId="0" xfId="0" applyNumberFormat="1" applyFont="1" applyFill="1" applyAlignment="1">
      <alignment horizontal="center"/>
    </xf>
    <xf numFmtId="0" fontId="1" fillId="14" borderId="0" xfId="0" applyFont="1" applyFill="1" applyAlignment="1">
      <alignment wrapText="1"/>
    </xf>
    <xf numFmtId="0" fontId="1" fillId="14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vertical="top" wrapText="1"/>
    </xf>
    <xf numFmtId="0" fontId="5" fillId="15" borderId="0" xfId="0" applyFont="1" applyFill="1" applyAlignment="1">
      <alignment horizontal="center"/>
    </xf>
    <xf numFmtId="9" fontId="5" fillId="15" borderId="0" xfId="0" applyNumberFormat="1" applyFont="1" applyFill="1" applyAlignment="1">
      <alignment horizontal="center"/>
    </xf>
    <xf numFmtId="0" fontId="1" fillId="17" borderId="0" xfId="0" applyFont="1" applyFill="1"/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0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top" wrapText="1"/>
    </xf>
    <xf numFmtId="0" fontId="9" fillId="18" borderId="0" xfId="0" applyFont="1" applyFill="1" applyAlignment="1">
      <alignment wrapText="1"/>
    </xf>
    <xf numFmtId="0" fontId="0" fillId="18" borderId="0" xfId="0" applyFill="1" applyAlignment="1">
      <alignment wrapText="1"/>
    </xf>
    <xf numFmtId="0" fontId="15" fillId="19" borderId="0" xfId="0" applyFont="1" applyFill="1" applyAlignment="1">
      <alignment horizontal="left" vertical="center" wrapText="1"/>
    </xf>
    <xf numFmtId="0" fontId="15" fillId="19" borderId="0" xfId="0" applyFont="1" applyFill="1" applyAlignment="1">
      <alignment horizontal="left" vertical="top" wrapText="1"/>
    </xf>
    <xf numFmtId="0" fontId="13" fillId="22" borderId="0" xfId="0" applyFont="1" applyFill="1" applyAlignment="1">
      <alignment horizontal="left" vertical="center" wrapText="1"/>
    </xf>
    <xf numFmtId="0" fontId="16" fillId="23" borderId="0" xfId="0" applyFont="1" applyFill="1" applyAlignment="1">
      <alignment vertical="center" wrapText="1"/>
    </xf>
    <xf numFmtId="0" fontId="1" fillId="22" borderId="0" xfId="0" applyFont="1" applyFill="1" applyAlignment="1">
      <alignment vertical="center"/>
    </xf>
    <xf numFmtId="0" fontId="16" fillId="24" borderId="0" xfId="0" applyFont="1" applyFill="1" applyAlignment="1">
      <alignment vertical="center"/>
    </xf>
    <xf numFmtId="0" fontId="5" fillId="16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/>
    <xf numFmtId="0" fontId="11" fillId="10" borderId="0" xfId="0" applyFont="1" applyFill="1" applyAlignment="1">
      <alignment wrapText="1"/>
    </xf>
    <xf numFmtId="0" fontId="13" fillId="12" borderId="0" xfId="0" applyFont="1" applyFill="1" applyAlignment="1">
      <alignment horizontal="center"/>
    </xf>
    <xf numFmtId="0" fontId="1" fillId="13" borderId="0" xfId="0" applyFont="1" applyFill="1"/>
    <xf numFmtId="0" fontId="10" fillId="8" borderId="0" xfId="0" applyFont="1" applyFill="1" applyAlignment="1">
      <alignment wrapText="1"/>
    </xf>
    <xf numFmtId="0" fontId="9" fillId="8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6" borderId="0" xfId="0" applyFont="1" applyFill="1" applyAlignment="1">
      <alignment horizontal="center" vertical="top"/>
    </xf>
    <xf numFmtId="0" fontId="7" fillId="7" borderId="0" xfId="0" applyFont="1" applyFill="1" applyAlignment="1">
      <alignment vertical="top" wrapText="1"/>
    </xf>
    <xf numFmtId="0" fontId="12" fillId="4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vertical="top"/>
    </xf>
    <xf numFmtId="0" fontId="1" fillId="12" borderId="0" xfId="0" applyFont="1" applyFill="1" applyAlignment="1">
      <alignment vertical="top"/>
    </xf>
    <xf numFmtId="0" fontId="0" fillId="0" borderId="0" xfId="0" applyAlignment="1">
      <alignment vertical="top"/>
    </xf>
    <xf numFmtId="0" fontId="15" fillId="19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center" wrapText="1"/>
    </xf>
    <xf numFmtId="0" fontId="5" fillId="12" borderId="0" xfId="0" applyFont="1" applyFill="1"/>
    <xf numFmtId="0" fontId="1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5" fillId="19" borderId="0" xfId="0" applyFont="1" applyFill="1" applyAlignment="1">
      <alignment horizontal="left" vertical="top"/>
    </xf>
    <xf numFmtId="0" fontId="14" fillId="21" borderId="0" xfId="0" applyFont="1" applyFill="1" applyAlignment="1">
      <alignment vertical="top" wrapText="1"/>
    </xf>
  </cellXfs>
  <cellStyles count="1">
    <cellStyle name="Normal" xfId="0" builtinId="0"/>
  </cellStyles>
  <dxfs count="32"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FF2CC"/>
        </patternFill>
      </fill>
    </dxf>
    <dxf>
      <fill>
        <patternFill>
          <bgColor rgb="FFDFF0D8"/>
        </patternFill>
      </fill>
    </dxf>
    <dxf>
      <fill>
        <patternFill>
          <bgColor rgb="FFDFF0D8"/>
        </patternFill>
      </fill>
    </dxf>
    <dxf>
      <fill>
        <patternFill>
          <bgColor rgb="FFFFF2CC"/>
        </patternFill>
      </fill>
    </dxf>
    <dxf>
      <fill>
        <patternFill>
          <bgColor rgb="FFDFF0D8"/>
        </patternFill>
      </fill>
    </dxf>
    <dxf>
      <fill>
        <patternFill>
          <bgColor rgb="FFDFF0D8"/>
        </patternFill>
      </fill>
    </dxf>
    <dxf>
      <font>
        <b/>
        <color rgb="FFFFFFFF"/>
      </font>
      <fill>
        <patternFill>
          <bgColor rgb="FF7C2D12"/>
        </patternFill>
      </fill>
    </dxf>
    <dxf>
      <font>
        <b/>
        <color rgb="FFFFFFFF"/>
      </font>
      <fill>
        <patternFill>
          <bgColor rgb="FF14532D"/>
        </patternFill>
      </fill>
    </dxf>
    <dxf>
      <font>
        <b/>
        <color rgb="FF16A34A"/>
      </font>
      <fill>
        <patternFill>
          <bgColor rgb="FFDCFCE7"/>
        </patternFill>
      </fill>
    </dxf>
    <dxf>
      <font>
        <b/>
        <color rgb="FFFFFFFF"/>
      </font>
      <fill>
        <patternFill>
          <bgColor rgb="FF14532D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A34A"/>
      </font>
      <fill>
        <patternFill>
          <bgColor rgb="FFDCFCE7"/>
        </patternFill>
      </fill>
    </dxf>
    <dxf>
      <font>
        <color rgb="FF666666"/>
      </font>
      <fill>
        <patternFill>
          <bgColor rgb="FFEEEEEE"/>
        </patternFill>
      </fill>
    </dxf>
    <dxf>
      <font>
        <color rgb="FF7A5900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C8E6C9"/>
        </patternFill>
      </fill>
    </dxf>
    <dxf>
      <font>
        <color rgb="FF666666"/>
      </font>
      <fill>
        <patternFill>
          <bgColor rgb="FFEEEEEE"/>
        </patternFill>
      </fill>
    </dxf>
    <dxf>
      <font>
        <color rgb="FF7A5900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C8E6C9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ont>
        <color rgb="FF6B7280"/>
      </font>
      <fill>
        <patternFill>
          <bgColor rgb="FFF3F4F6"/>
        </patternFill>
      </fill>
    </dxf>
    <dxf>
      <font>
        <b/>
        <color rgb="FF16A34A"/>
      </font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ont>
        <color rgb="FF666666"/>
      </font>
      <fill>
        <patternFill>
          <bgColor rgb="FFEEEEEE"/>
        </patternFill>
      </fill>
    </dxf>
    <dxf>
      <font>
        <color rgb="FF7A5900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C8E6C9"/>
        </patternFill>
      </fill>
    </dxf>
    <dxf>
      <font>
        <color rgb="FF666666"/>
      </font>
      <fill>
        <patternFill>
          <bgColor rgb="FFEEEEEE"/>
        </patternFill>
      </fill>
    </dxf>
    <dxf>
      <font>
        <color rgb="FF7A5900"/>
      </font>
      <fill>
        <patternFill>
          <bgColor rgb="FFFFF3CD"/>
        </patternFill>
      </fill>
    </dxf>
    <dxf>
      <font>
        <b/>
        <color rgb="FF2E7D32"/>
      </font>
      <fill>
        <patternFill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Progress by Track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DONE</c:v>
          </c:tx>
          <c:invertIfNegative val="1"/>
          <c:cat>
            <c:strRef>
              <c:f>Dashboard!$H$5:$H$9</c:f>
              <c:strCache>
                <c:ptCount val="5"/>
                <c:pt idx="0">
                  <c:v>Foundation</c:v>
                </c:pt>
                <c:pt idx="1">
                  <c:v>Blue Team</c:v>
                </c:pt>
                <c:pt idx="2">
                  <c:v>Red Team</c:v>
                </c:pt>
                <c:pt idx="3">
                  <c:v>Purple Team</c:v>
                </c:pt>
                <c:pt idx="4">
                  <c:v>Engineering</c:v>
                </c:pt>
              </c:strCache>
            </c:strRef>
          </c:cat>
          <c:val>
            <c:numRef>
              <c:f>Dashboard!$I$5:$I$9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B-43FF-9EEA-1EEA01B225D3}"/>
            </c:ext>
          </c:extLst>
        </c:ser>
        <c:ser>
          <c:idx val="1"/>
          <c:order val="1"/>
          <c:tx>
            <c:v>TOTAL</c:v>
          </c:tx>
          <c:invertIfNegative val="1"/>
          <c:cat>
            <c:strRef>
              <c:f>Dashboard!$H$5:$H$9</c:f>
              <c:strCache>
                <c:ptCount val="5"/>
                <c:pt idx="0">
                  <c:v>Foundation</c:v>
                </c:pt>
                <c:pt idx="1">
                  <c:v>Blue Team</c:v>
                </c:pt>
                <c:pt idx="2">
                  <c:v>Red Team</c:v>
                </c:pt>
                <c:pt idx="3">
                  <c:v>Purple Team</c:v>
                </c:pt>
                <c:pt idx="4">
                  <c:v>Engineering</c:v>
                </c:pt>
              </c:strCache>
            </c:strRef>
          </c:cat>
          <c:val>
            <c:numRef>
              <c:f>Dashboard!$J$5:$J$9</c:f>
              <c:numCache>
                <c:formatCode>General</c:formatCode>
                <c:ptCount val="5"/>
                <c:pt idx="0">
                  <c:v>6</c:v>
                </c:pt>
                <c:pt idx="1">
                  <c:v>18</c:v>
                </c:pt>
                <c:pt idx="2">
                  <c:v>16</c:v>
                </c:pt>
                <c:pt idx="3">
                  <c:v>11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B-43FF-9EEA-1EEA01B225D3}"/>
            </c:ext>
          </c:extLst>
        </c:ser>
        <c:ser>
          <c:idx val="2"/>
          <c:order val="2"/>
          <c:tx>
            <c:v>%</c:v>
          </c:tx>
          <c:invertIfNegative val="1"/>
          <c:cat>
            <c:strRef>
              <c:f>Dashboard!$H$5:$H$9</c:f>
              <c:strCache>
                <c:ptCount val="5"/>
                <c:pt idx="0">
                  <c:v>Foundation</c:v>
                </c:pt>
                <c:pt idx="1">
                  <c:v>Blue Team</c:v>
                </c:pt>
                <c:pt idx="2">
                  <c:v>Red Team</c:v>
                </c:pt>
                <c:pt idx="3">
                  <c:v>Purple Team</c:v>
                </c:pt>
                <c:pt idx="4">
                  <c:v>Engineering</c:v>
                </c:pt>
              </c:strCache>
            </c:strRef>
          </c:cat>
          <c:val>
            <c:numRef>
              <c:f>Dashboard!$K$5:$K$9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DB-43FF-9EEA-1EEA01B2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yond25Table" displayName="Beyond25Table" ref="A4:J13" totalsRowShown="0">
  <tableColumns count="10">
    <tableColumn id="1" xr3:uid="{00000000-0010-0000-0000-000001000000}" name="Timeframe"/>
    <tableColumn id="2" xr3:uid="{00000000-0010-0000-0000-000002000000}" name="Track"/>
    <tableColumn id="3" xr3:uid="{00000000-0010-0000-0000-000003000000}" name="Focus"/>
    <tableColumn id="4" xr3:uid="{00000000-0010-0000-0000-000004000000}" name="Skill"/>
    <tableColumn id="5" xr3:uid="{00000000-0010-0000-0000-000005000000}" name="Practical Mission"/>
    <tableColumn id="6" xr3:uid="{00000000-0010-0000-0000-000006000000}" name="Portfolio Deliverable"/>
    <tableColumn id="7" xr3:uid="{00000000-0010-0000-0000-000007000000}" name="Suggested Tools / Study"/>
    <tableColumn id="8" xr3:uid="{00000000-0010-0000-0000-000008000000}" name="Priority"/>
    <tableColumn id="9" xr3:uid="{00000000-0010-0000-0000-000009000000}" name="Status"/>
    <tableColumn id="10" xr3:uid="{00000000-0010-0000-0000-00000A000000}" name="X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B4" sqref="B4"/>
    </sheetView>
  </sheetViews>
  <sheetFormatPr defaultRowHeight="13.8"/>
  <cols>
    <col min="1" max="1" width="18" customWidth="1"/>
    <col min="2" max="2" width="70" customWidth="1"/>
    <col min="3" max="3" width="22.19921875" bestFit="1" customWidth="1"/>
    <col min="4" max="4" width="20" customWidth="1"/>
    <col min="5" max="5" width="18" customWidth="1"/>
    <col min="6" max="6" width="24" customWidth="1"/>
    <col min="7" max="7" width="26" customWidth="1"/>
    <col min="8" max="10" width="16" customWidth="1"/>
    <col min="11" max="11" width="24" customWidth="1"/>
    <col min="12" max="12" width="18" customWidth="1"/>
  </cols>
  <sheetData>
    <row r="1" spans="1:1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2">
      <c r="A4" s="1" t="s">
        <v>1</v>
      </c>
      <c r="B4" s="3" t="s">
        <v>1516</v>
      </c>
      <c r="D4" s="4" t="s">
        <v>2</v>
      </c>
      <c r="E4" s="4" t="s">
        <v>3</v>
      </c>
      <c r="F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</row>
    <row r="5" spans="1:12">
      <c r="A5" s="1" t="s">
        <v>10</v>
      </c>
      <c r="B5" s="3"/>
      <c r="D5" s="1" t="s">
        <v>12</v>
      </c>
      <c r="E5" s="3">
        <v>62</v>
      </c>
      <c r="F5" s="3" t="s">
        <v>13</v>
      </c>
      <c r="H5" s="6" t="s">
        <v>14</v>
      </c>
      <c r="I5" s="6">
        <f>COUNTIFS(Roadmap!D2:D63,"Foundation",Roadmap!G2:G63,"Done")</f>
        <v>0</v>
      </c>
      <c r="J5" s="6">
        <f>COUNTIF(Roadmap!D2:D63,"Foundation")</f>
        <v>6</v>
      </c>
      <c r="K5" s="7">
        <f>IFERROR(I5/J5,0)</f>
        <v>0</v>
      </c>
      <c r="L5" s="6" t="str">
        <f>REPT("█",ROUND(K5*20,0))&amp;REPT("░",20-ROUND(K5*20,0))</f>
        <v>░░░░░░░░░░░░░░░░░░░░</v>
      </c>
    </row>
    <row r="6" spans="1:12" ht="27.6">
      <c r="A6" s="1" t="s">
        <v>15</v>
      </c>
      <c r="B6" s="3" t="s">
        <v>16</v>
      </c>
      <c r="D6" s="1" t="s">
        <v>17</v>
      </c>
      <c r="E6" s="3">
        <f>COUNTIF(Roadmap!G2:G63,"Done")</f>
        <v>0</v>
      </c>
      <c r="F6" s="3" t="s">
        <v>18</v>
      </c>
      <c r="H6" s="6" t="s">
        <v>19</v>
      </c>
      <c r="I6" s="6">
        <f>COUNTIFS(Roadmap!D2:D63,"Blue Team",Roadmap!G2:G63,"Done")</f>
        <v>0</v>
      </c>
      <c r="J6" s="6">
        <f>COUNTIF(Roadmap!D2:D63,"Blue Team")</f>
        <v>18</v>
      </c>
      <c r="K6" s="7">
        <f>IFERROR(I6/J6,0)</f>
        <v>0</v>
      </c>
      <c r="L6" s="6" t="str">
        <f>REPT("█",ROUND(K6*20,0))&amp;REPT("░",20-ROUND(K6*20,0))</f>
        <v>░░░░░░░░░░░░░░░░░░░░</v>
      </c>
    </row>
    <row r="7" spans="1:12">
      <c r="A7" s="1" t="s">
        <v>20</v>
      </c>
      <c r="B7" s="3" t="s">
        <v>21</v>
      </c>
      <c r="D7" s="1" t="s">
        <v>22</v>
      </c>
      <c r="E7" s="5">
        <f>E6/E5</f>
        <v>0</v>
      </c>
      <c r="F7" s="3" t="s">
        <v>23</v>
      </c>
      <c r="H7" s="6" t="s">
        <v>24</v>
      </c>
      <c r="I7" s="6">
        <f>COUNTIFS(Roadmap!D2:D63,"Red Team",Roadmap!G2:G63,"Done")</f>
        <v>0</v>
      </c>
      <c r="J7" s="6">
        <f>COUNTIF(Roadmap!D2:D63,"Red Team")</f>
        <v>16</v>
      </c>
      <c r="K7" s="7">
        <f>IFERROR(I7/J7,0)</f>
        <v>0</v>
      </c>
      <c r="L7" s="6" t="str">
        <f>REPT("█",ROUND(K7*20,0))&amp;REPT("░",20-ROUND(K7*20,0))</f>
        <v>░░░░░░░░░░░░░░░░░░░░</v>
      </c>
    </row>
    <row r="8" spans="1:12">
      <c r="A8" s="1" t="s">
        <v>25</v>
      </c>
      <c r="B8" s="3" t="s">
        <v>26</v>
      </c>
      <c r="D8" s="1" t="s">
        <v>27</v>
      </c>
      <c r="E8" s="14">
        <f>SUM(Roadmap!H2:H63)+SUMIF(Projects!G2:G12,"Done",Projects!F2:F12)</f>
        <v>0</v>
      </c>
      <c r="F8" s="3" t="s">
        <v>28</v>
      </c>
      <c r="H8" s="6" t="s">
        <v>29</v>
      </c>
      <c r="I8" s="6">
        <f>COUNTIFS(Roadmap!D2:D63,"Purple Team",Roadmap!G2:G63,"Done")</f>
        <v>0</v>
      </c>
      <c r="J8" s="6">
        <f>COUNTIF(Roadmap!D2:D63,"Purple Team")</f>
        <v>11</v>
      </c>
      <c r="K8" s="7">
        <f>IFERROR(I8/J8,0)</f>
        <v>0</v>
      </c>
      <c r="L8" s="6" t="str">
        <f>REPT("█",ROUND(K8*20,0))&amp;REPT("░",20-ROUND(K8*20,0))</f>
        <v>░░░░░░░░░░░░░░░░░░░░</v>
      </c>
    </row>
    <row r="9" spans="1:12">
      <c r="A9" s="1" t="s">
        <v>30</v>
      </c>
      <c r="B9" s="3" t="s">
        <v>31</v>
      </c>
      <c r="D9" s="1" t="s">
        <v>32</v>
      </c>
      <c r="E9" s="14">
        <f>INT(E8/500)+1</f>
        <v>1</v>
      </c>
      <c r="F9" s="3" t="s">
        <v>33</v>
      </c>
      <c r="H9" s="6" t="s">
        <v>34</v>
      </c>
      <c r="I9" s="6">
        <f>COUNTIFS(Roadmap!D2:D63,"Engineering",Roadmap!G2:G63,"Done")</f>
        <v>0</v>
      </c>
      <c r="J9" s="6">
        <f>COUNTIF(Roadmap!D2:D63,"Engineering")</f>
        <v>3</v>
      </c>
      <c r="K9" s="7">
        <f>IFERROR(I9/J9,0)</f>
        <v>0</v>
      </c>
      <c r="L9" s="6" t="str">
        <f>REPT("█",ROUND(K9*20,0))&amp;REPT("░",20-ROUND(K9*20,0))</f>
        <v>░░░░░░░░░░░░░░░░░░░░</v>
      </c>
    </row>
    <row r="10" spans="1:12">
      <c r="A10" s="1" t="s">
        <v>35</v>
      </c>
      <c r="B10" s="3" t="s">
        <v>36</v>
      </c>
      <c r="D10" s="1" t="s">
        <v>37</v>
      </c>
      <c r="E10" s="14">
        <f>E9*500-E8</f>
        <v>500</v>
      </c>
      <c r="F10" s="3" t="s">
        <v>38</v>
      </c>
    </row>
    <row r="12" spans="1:12" ht="16.8">
      <c r="H12" s="56" t="s">
        <v>39</v>
      </c>
      <c r="I12" s="56"/>
      <c r="J12" s="56"/>
      <c r="K12" s="56"/>
      <c r="L12" s="56"/>
    </row>
    <row r="13" spans="1:12" ht="16.8">
      <c r="A13" s="56" t="s">
        <v>40</v>
      </c>
      <c r="B13" s="56"/>
      <c r="C13" s="56"/>
      <c r="D13" s="56"/>
      <c r="E13" s="56"/>
      <c r="F13" s="56"/>
      <c r="H13" s="2" t="s">
        <v>41</v>
      </c>
      <c r="I13" s="2" t="s">
        <v>42</v>
      </c>
    </row>
    <row r="14" spans="1:12">
      <c r="A14" s="1" t="s">
        <v>32</v>
      </c>
      <c r="B14" s="1" t="s">
        <v>43</v>
      </c>
      <c r="C14" s="1" t="s">
        <v>44</v>
      </c>
      <c r="D14" s="1" t="s">
        <v>45</v>
      </c>
      <c r="E14" s="1" t="s">
        <v>46</v>
      </c>
      <c r="H14" s="2" t="s">
        <v>26</v>
      </c>
      <c r="I14" s="2" t="s">
        <v>47</v>
      </c>
    </row>
    <row r="15" spans="1:12">
      <c r="A15">
        <v>1</v>
      </c>
      <c r="B15" t="s">
        <v>48</v>
      </c>
      <c r="C15" t="s">
        <v>49</v>
      </c>
      <c r="D15" t="s">
        <v>50</v>
      </c>
      <c r="E15" t="s">
        <v>51</v>
      </c>
      <c r="H15" s="2" t="s">
        <v>52</v>
      </c>
      <c r="I15" s="2" t="s">
        <v>53</v>
      </c>
    </row>
    <row r="16" spans="1:12">
      <c r="A16">
        <v>2</v>
      </c>
      <c r="B16" t="s">
        <v>54</v>
      </c>
      <c r="C16" t="s">
        <v>55</v>
      </c>
      <c r="D16" t="s">
        <v>56</v>
      </c>
      <c r="E16" t="s">
        <v>26</v>
      </c>
      <c r="H16" s="2" t="s">
        <v>57</v>
      </c>
      <c r="I16" s="2" t="s">
        <v>58</v>
      </c>
    </row>
    <row r="17" spans="1:12">
      <c r="A17">
        <v>3</v>
      </c>
      <c r="B17" t="s">
        <v>59</v>
      </c>
      <c r="C17" t="s">
        <v>60</v>
      </c>
      <c r="D17" t="s">
        <v>61</v>
      </c>
      <c r="E17" t="s">
        <v>52</v>
      </c>
      <c r="H17" s="2" t="s">
        <v>62</v>
      </c>
      <c r="I17" s="2" t="s">
        <v>63</v>
      </c>
    </row>
    <row r="18" spans="1:12">
      <c r="A18">
        <v>4</v>
      </c>
      <c r="B18" t="s">
        <v>64</v>
      </c>
      <c r="C18" t="s">
        <v>65</v>
      </c>
      <c r="D18" t="s">
        <v>66</v>
      </c>
      <c r="E18" t="s">
        <v>67</v>
      </c>
      <c r="H18" s="2" t="s">
        <v>68</v>
      </c>
      <c r="I18" s="2" t="s">
        <v>69</v>
      </c>
    </row>
    <row r="19" spans="1:12">
      <c r="A19">
        <v>5</v>
      </c>
      <c r="B19" t="s">
        <v>70</v>
      </c>
      <c r="C19" t="s">
        <v>71</v>
      </c>
      <c r="D19" t="s">
        <v>72</v>
      </c>
      <c r="E19" t="s">
        <v>57</v>
      </c>
    </row>
    <row r="20" spans="1:12">
      <c r="A20">
        <v>6</v>
      </c>
      <c r="B20" t="s">
        <v>73</v>
      </c>
      <c r="C20" t="s">
        <v>74</v>
      </c>
      <c r="D20" t="s">
        <v>75</v>
      </c>
      <c r="E20" t="s">
        <v>76</v>
      </c>
    </row>
    <row r="21" spans="1:12">
      <c r="A21">
        <v>7</v>
      </c>
      <c r="B21" t="s">
        <v>77</v>
      </c>
      <c r="C21" t="s">
        <v>78</v>
      </c>
      <c r="D21" t="s">
        <v>79</v>
      </c>
      <c r="E21" t="s">
        <v>80</v>
      </c>
    </row>
    <row r="22" spans="1:12">
      <c r="A22">
        <v>8</v>
      </c>
      <c r="B22" t="s">
        <v>81</v>
      </c>
      <c r="C22" t="s">
        <v>82</v>
      </c>
      <c r="D22" t="s">
        <v>83</v>
      </c>
      <c r="E22" t="s">
        <v>84</v>
      </c>
    </row>
    <row r="23" spans="1:12">
      <c r="A23">
        <v>9</v>
      </c>
      <c r="B23" t="s">
        <v>85</v>
      </c>
      <c r="C23" t="s">
        <v>86</v>
      </c>
      <c r="D23" t="s">
        <v>87</v>
      </c>
      <c r="E23" t="s">
        <v>88</v>
      </c>
    </row>
    <row r="24" spans="1:12">
      <c r="A24">
        <v>10</v>
      </c>
      <c r="B24" t="s">
        <v>89</v>
      </c>
      <c r="C24" t="s">
        <v>90</v>
      </c>
      <c r="D24" t="s">
        <v>91</v>
      </c>
      <c r="E24" t="s">
        <v>92</v>
      </c>
    </row>
    <row r="25" spans="1:12" ht="15.6">
      <c r="G25" s="58" t="s">
        <v>93</v>
      </c>
      <c r="H25" s="53"/>
      <c r="I25" s="53"/>
      <c r="J25" s="53"/>
      <c r="K25" s="53"/>
      <c r="L25" s="53"/>
    </row>
    <row r="26" spans="1:12">
      <c r="G26" s="31" t="s">
        <v>94</v>
      </c>
      <c r="H26" s="31" t="s">
        <v>95</v>
      </c>
      <c r="I26" s="31" t="s">
        <v>96</v>
      </c>
      <c r="J26" s="31" t="s">
        <v>97</v>
      </c>
      <c r="K26" s="31" t="s">
        <v>98</v>
      </c>
      <c r="L26" s="31" t="s">
        <v>99</v>
      </c>
    </row>
    <row r="27" spans="1:12" ht="16.8">
      <c r="A27" s="54" t="s">
        <v>100</v>
      </c>
      <c r="B27" s="54"/>
      <c r="C27" s="54"/>
      <c r="D27" s="54"/>
      <c r="E27" s="54"/>
      <c r="F27" s="54"/>
      <c r="G27" s="37" t="s">
        <v>101</v>
      </c>
      <c r="H27" s="37">
        <f>COUNTIF('Microsoft Track'!K9:K60,"Done")</f>
        <v>0</v>
      </c>
      <c r="I27" s="37">
        <f>COUNTA('Microsoft Track'!A9:A60)</f>
        <v>42</v>
      </c>
      <c r="J27" s="38">
        <f>IFERROR(H27/I27,0)</f>
        <v>0</v>
      </c>
      <c r="K27" s="37">
        <f>SUMIF('Microsoft Track'!K9:K60,"Done",'Microsoft Track'!J9:J60)</f>
        <v>0</v>
      </c>
      <c r="L27" s="37">
        <f>SUM('Microsoft Track'!J9:J60)</f>
        <v>4250</v>
      </c>
    </row>
    <row r="28" spans="1:12">
      <c r="A28" s="1" t="s">
        <v>102</v>
      </c>
      <c r="B28" s="8" t="s">
        <v>103</v>
      </c>
      <c r="I28" s="17" t="s">
        <v>104</v>
      </c>
      <c r="J28" s="16">
        <f>'12-Month Starter'!A5</f>
        <v>46</v>
      </c>
    </row>
    <row r="29" spans="1:12" ht="27.6">
      <c r="A29" s="1" t="s">
        <v>105</v>
      </c>
      <c r="B29" s="8" t="s">
        <v>106</v>
      </c>
      <c r="G29" s="59" t="s">
        <v>107</v>
      </c>
      <c r="H29" s="53"/>
      <c r="I29" s="60"/>
      <c r="J29" s="61"/>
      <c r="K29" s="53"/>
      <c r="L29" s="53"/>
    </row>
    <row r="30" spans="1:12" ht="27.6">
      <c r="A30" s="1" t="s">
        <v>108</v>
      </c>
      <c r="B30" s="8" t="s">
        <v>109</v>
      </c>
      <c r="G30" s="9" t="s">
        <v>110</v>
      </c>
      <c r="H30" s="9" t="s">
        <v>111</v>
      </c>
      <c r="I30" s="17" t="s">
        <v>112</v>
      </c>
      <c r="J30" s="18" t="s">
        <v>113</v>
      </c>
      <c r="K30" s="9" t="s">
        <v>114</v>
      </c>
      <c r="L30" s="9" t="s">
        <v>115</v>
      </c>
    </row>
    <row r="31" spans="1:12" ht="27.6">
      <c r="A31" s="1" t="s">
        <v>116</v>
      </c>
      <c r="B31" s="8" t="s">
        <v>117</v>
      </c>
      <c r="G31" s="9" t="s">
        <v>118</v>
      </c>
      <c r="H31" s="9" t="s">
        <v>119</v>
      </c>
      <c r="I31" s="17" t="s">
        <v>120</v>
      </c>
      <c r="J31" s="16" t="s">
        <v>113</v>
      </c>
      <c r="K31" s="9" t="s">
        <v>121</v>
      </c>
      <c r="L31" s="9" t="s">
        <v>122</v>
      </c>
    </row>
    <row r="32" spans="1:12" ht="27.6">
      <c r="A32" s="1" t="s">
        <v>123</v>
      </c>
      <c r="B32" s="8" t="s">
        <v>124</v>
      </c>
      <c r="G32" s="9" t="s">
        <v>125</v>
      </c>
      <c r="H32" s="9" t="s">
        <v>126</v>
      </c>
      <c r="I32" s="57" t="s">
        <v>120</v>
      </c>
      <c r="J32" s="57" t="s">
        <v>113</v>
      </c>
      <c r="K32" s="57" t="s">
        <v>127</v>
      </c>
      <c r="L32" s="57" t="s">
        <v>122</v>
      </c>
    </row>
    <row r="33" spans="1:12" ht="41.4">
      <c r="G33" s="9" t="s">
        <v>62</v>
      </c>
      <c r="H33" s="9" t="s">
        <v>128</v>
      </c>
      <c r="I33" s="9" t="s">
        <v>120</v>
      </c>
      <c r="J33" s="9" t="s">
        <v>113</v>
      </c>
      <c r="K33" s="9" t="s">
        <v>129</v>
      </c>
      <c r="L33" s="9" t="s">
        <v>122</v>
      </c>
    </row>
    <row r="34" spans="1:12" ht="27.6">
      <c r="G34" s="9" t="s">
        <v>130</v>
      </c>
      <c r="H34" s="9" t="s">
        <v>131</v>
      </c>
      <c r="I34" s="9" t="s">
        <v>132</v>
      </c>
      <c r="J34" s="9" t="s">
        <v>133</v>
      </c>
      <c r="K34" s="9" t="s">
        <v>134</v>
      </c>
      <c r="L34" s="9" t="s">
        <v>115</v>
      </c>
    </row>
    <row r="36" spans="1:12" ht="16.8">
      <c r="A36" s="52" t="s">
        <v>135</v>
      </c>
      <c r="B36" s="53"/>
      <c r="C36" s="53"/>
      <c r="D36" s="53"/>
      <c r="E36" s="53"/>
      <c r="F36" s="53"/>
    </row>
    <row r="38" spans="1:12">
      <c r="A38" s="39" t="s">
        <v>136</v>
      </c>
      <c r="B38" s="39" t="s">
        <v>137</v>
      </c>
      <c r="C38" s="39" t="s">
        <v>50</v>
      </c>
      <c r="D38" s="39" t="s">
        <v>113</v>
      </c>
      <c r="E38" s="39" t="s">
        <v>138</v>
      </c>
      <c r="F38" s="39" t="s">
        <v>139</v>
      </c>
    </row>
    <row r="39" spans="1:12">
      <c r="A39" s="9" t="s">
        <v>140</v>
      </c>
      <c r="B39" s="9" t="s">
        <v>141</v>
      </c>
      <c r="C39" s="9" t="s">
        <v>142</v>
      </c>
      <c r="D39" s="9" t="s">
        <v>143</v>
      </c>
      <c r="E39" s="9" t="s">
        <v>144</v>
      </c>
      <c r="F39" s="9" t="s">
        <v>145</v>
      </c>
    </row>
    <row r="40" spans="1:12">
      <c r="A40" s="9" t="s">
        <v>146</v>
      </c>
      <c r="B40" s="9" t="s">
        <v>147</v>
      </c>
      <c r="C40" s="9" t="s">
        <v>142</v>
      </c>
      <c r="D40" s="9" t="s">
        <v>148</v>
      </c>
      <c r="E40" s="9" t="s">
        <v>144</v>
      </c>
      <c r="F40" s="9" t="s">
        <v>145</v>
      </c>
    </row>
    <row r="41" spans="1:12">
      <c r="A41" s="9" t="s">
        <v>149</v>
      </c>
      <c r="B41" s="9" t="s">
        <v>150</v>
      </c>
      <c r="C41" s="9" t="s">
        <v>142</v>
      </c>
      <c r="D41" s="9" t="s">
        <v>151</v>
      </c>
      <c r="E41" s="9" t="s">
        <v>152</v>
      </c>
      <c r="F41" s="9" t="s">
        <v>153</v>
      </c>
    </row>
    <row r="42" spans="1:12" ht="27.6">
      <c r="A42" s="9" t="s">
        <v>154</v>
      </c>
      <c r="B42" s="9" t="s">
        <v>155</v>
      </c>
      <c r="C42" s="9" t="s">
        <v>156</v>
      </c>
      <c r="D42" s="9" t="s">
        <v>157</v>
      </c>
      <c r="E42" s="9" t="s">
        <v>158</v>
      </c>
      <c r="F42" s="9" t="s">
        <v>159</v>
      </c>
    </row>
    <row r="44" spans="1:12" ht="69.599999999999994">
      <c r="A44" s="47" t="s">
        <v>160</v>
      </c>
      <c r="B44" s="47"/>
      <c r="C44" s="47"/>
      <c r="D44" s="47"/>
      <c r="E44" s="47"/>
      <c r="F44" s="47"/>
    </row>
    <row r="45" spans="1:12">
      <c r="A45" s="43" t="s">
        <v>136</v>
      </c>
      <c r="B45" s="43" t="s">
        <v>137</v>
      </c>
      <c r="C45" s="43" t="s">
        <v>113</v>
      </c>
      <c r="D45" s="43" t="s">
        <v>138</v>
      </c>
      <c r="E45" s="43" t="s">
        <v>139</v>
      </c>
      <c r="F45" s="43" t="s">
        <v>161</v>
      </c>
    </row>
    <row r="46" spans="1:12" ht="27.6">
      <c r="A46" s="21" t="s">
        <v>162</v>
      </c>
      <c r="B46" s="21" t="s">
        <v>163</v>
      </c>
      <c r="C46" s="21" t="s">
        <v>164</v>
      </c>
      <c r="D46" s="21" t="s">
        <v>152</v>
      </c>
      <c r="E46" s="21" t="s">
        <v>159</v>
      </c>
      <c r="F46" s="21" t="s">
        <v>165</v>
      </c>
    </row>
    <row r="47" spans="1:12" ht="27.6">
      <c r="A47" s="21" t="s">
        <v>166</v>
      </c>
      <c r="B47" s="21" t="s">
        <v>167</v>
      </c>
      <c r="C47" s="21" t="s">
        <v>168</v>
      </c>
      <c r="D47" s="21" t="s">
        <v>152</v>
      </c>
      <c r="E47" s="21" t="s">
        <v>159</v>
      </c>
      <c r="F47" s="21" t="s">
        <v>169</v>
      </c>
    </row>
    <row r="48" spans="1:12" ht="27.6">
      <c r="A48" s="21" t="s">
        <v>170</v>
      </c>
      <c r="B48" s="21" t="s">
        <v>171</v>
      </c>
      <c r="C48" s="21" t="s">
        <v>172</v>
      </c>
      <c r="D48" s="21" t="s">
        <v>152</v>
      </c>
      <c r="E48" s="21" t="s">
        <v>159</v>
      </c>
      <c r="F48" s="21" t="s">
        <v>173</v>
      </c>
    </row>
  </sheetData>
  <mergeCells count="8">
    <mergeCell ref="A36:F36"/>
    <mergeCell ref="A27:F27"/>
    <mergeCell ref="A1:L2"/>
    <mergeCell ref="A13:F13"/>
    <mergeCell ref="H12:L12"/>
    <mergeCell ref="I32:L32"/>
    <mergeCell ref="G25:L25"/>
    <mergeCell ref="G29:L29"/>
  </mergeCells>
  <conditionalFormatting sqref="E7">
    <cfRule type="dataBar" priority="2">
      <dataBar>
        <cfvo type="min"/>
        <cfvo type="max"/>
        <color rgb="FFD32F2F"/>
      </dataBar>
    </cfRule>
    <cfRule type="dataBar" priority="4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K5:K9">
    <cfRule type="dataBar" priority="1">
      <dataBar>
        <cfvo type="min"/>
        <cfvo type="max"/>
        <color rgb="FFD32F2F"/>
      </dataBar>
    </cfRule>
    <cfRule type="dataBar" priority="3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pageSetup paperSize="0" orientation="portrait" horizontalDpi="0" verticalDpi="0" copie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E7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K5:K9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opLeftCell="A13" workbookViewId="0"/>
  </sheetViews>
  <sheetFormatPr defaultRowHeight="13.8"/>
  <cols>
    <col min="1" max="1" width="12" customWidth="1"/>
    <col min="2" max="2" width="8" customWidth="1"/>
    <col min="3" max="3" width="10" customWidth="1"/>
    <col min="4" max="4" width="14" customWidth="1"/>
    <col min="5" max="5" width="25" customWidth="1"/>
    <col min="6" max="6" width="55" customWidth="1"/>
    <col min="7" max="7" width="15" customWidth="1"/>
    <col min="8" max="9" width="10" customWidth="1"/>
    <col min="10" max="10" width="30" customWidth="1"/>
  </cols>
  <sheetData>
    <row r="1" spans="1:26">
      <c r="A1" s="11" t="s">
        <v>174</v>
      </c>
      <c r="B1" s="11" t="s">
        <v>175</v>
      </c>
      <c r="C1" s="11" t="s">
        <v>176</v>
      </c>
      <c r="D1" s="11" t="s">
        <v>136</v>
      </c>
      <c r="E1" s="11" t="s">
        <v>177</v>
      </c>
      <c r="F1" s="11" t="s">
        <v>178</v>
      </c>
      <c r="G1" s="11" t="s">
        <v>139</v>
      </c>
      <c r="H1" s="11" t="s">
        <v>179</v>
      </c>
      <c r="I1" s="11" t="s">
        <v>180</v>
      </c>
      <c r="J1" s="11" t="s">
        <v>181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7.6">
      <c r="A2" s="12" t="s">
        <v>182</v>
      </c>
      <c r="B2" s="12" t="s">
        <v>11</v>
      </c>
      <c r="C2" s="12" t="s">
        <v>183</v>
      </c>
      <c r="D2" s="12" t="s">
        <v>14</v>
      </c>
      <c r="E2" s="12" t="s">
        <v>184</v>
      </c>
      <c r="F2" s="13" t="s">
        <v>185</v>
      </c>
      <c r="G2" s="12" t="s">
        <v>145</v>
      </c>
      <c r="H2" s="15">
        <v>0</v>
      </c>
      <c r="I2" s="12" t="s">
        <v>186</v>
      </c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7.6">
      <c r="A3" s="12" t="s">
        <v>187</v>
      </c>
      <c r="B3" s="12" t="s">
        <v>112</v>
      </c>
      <c r="C3" s="12" t="s">
        <v>183</v>
      </c>
      <c r="D3" s="12" t="s">
        <v>14</v>
      </c>
      <c r="E3" s="12" t="s">
        <v>188</v>
      </c>
      <c r="F3" s="13" t="s">
        <v>189</v>
      </c>
      <c r="G3" s="12" t="s">
        <v>145</v>
      </c>
      <c r="H3" s="15">
        <v>0</v>
      </c>
      <c r="I3" s="12" t="s">
        <v>186</v>
      </c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7.6">
      <c r="A4" s="12" t="s">
        <v>190</v>
      </c>
      <c r="B4" s="12" t="s">
        <v>112</v>
      </c>
      <c r="C4" s="12" t="s">
        <v>183</v>
      </c>
      <c r="D4" s="12" t="s">
        <v>14</v>
      </c>
      <c r="E4" s="12" t="s">
        <v>191</v>
      </c>
      <c r="F4" s="13" t="s">
        <v>192</v>
      </c>
      <c r="G4" s="12" t="s">
        <v>145</v>
      </c>
      <c r="H4" s="15">
        <v>0</v>
      </c>
      <c r="I4" s="12" t="s">
        <v>186</v>
      </c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7.6">
      <c r="A5" s="12" t="s">
        <v>193</v>
      </c>
      <c r="B5" s="12" t="s">
        <v>112</v>
      </c>
      <c r="C5" s="12" t="s">
        <v>183</v>
      </c>
      <c r="D5" s="12" t="s">
        <v>14</v>
      </c>
      <c r="E5" s="12" t="s">
        <v>194</v>
      </c>
      <c r="F5" s="13" t="s">
        <v>195</v>
      </c>
      <c r="G5" s="12" t="s">
        <v>145</v>
      </c>
      <c r="H5" s="15">
        <v>0</v>
      </c>
      <c r="I5" s="12" t="s">
        <v>186</v>
      </c>
      <c r="J5" s="13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7.6">
      <c r="A6" s="12" t="s">
        <v>196</v>
      </c>
      <c r="B6" s="12" t="s">
        <v>112</v>
      </c>
      <c r="C6" s="12" t="s">
        <v>183</v>
      </c>
      <c r="D6" s="12" t="s">
        <v>14</v>
      </c>
      <c r="E6" s="12" t="s">
        <v>197</v>
      </c>
      <c r="F6" s="13" t="s">
        <v>198</v>
      </c>
      <c r="G6" s="12" t="s">
        <v>145</v>
      </c>
      <c r="H6" s="15">
        <v>0</v>
      </c>
      <c r="I6" s="12" t="s">
        <v>186</v>
      </c>
      <c r="J6" s="13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7.6">
      <c r="A7" s="12" t="s">
        <v>199</v>
      </c>
      <c r="B7" s="12" t="s">
        <v>112</v>
      </c>
      <c r="C7" s="12" t="s">
        <v>183</v>
      </c>
      <c r="D7" s="12" t="s">
        <v>200</v>
      </c>
      <c r="E7" s="12" t="s">
        <v>201</v>
      </c>
      <c r="F7" s="13" t="s">
        <v>202</v>
      </c>
      <c r="G7" s="12" t="s">
        <v>145</v>
      </c>
      <c r="H7" s="15">
        <v>0</v>
      </c>
      <c r="I7" s="12" t="s">
        <v>186</v>
      </c>
      <c r="J7" s="13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7.6">
      <c r="A8" s="12" t="s">
        <v>203</v>
      </c>
      <c r="B8" s="12" t="s">
        <v>112</v>
      </c>
      <c r="C8" s="12" t="s">
        <v>183</v>
      </c>
      <c r="D8" s="12" t="s">
        <v>204</v>
      </c>
      <c r="E8" s="12" t="s">
        <v>205</v>
      </c>
      <c r="F8" s="13" t="s">
        <v>206</v>
      </c>
      <c r="G8" s="12" t="s">
        <v>145</v>
      </c>
      <c r="H8" s="15">
        <v>0</v>
      </c>
      <c r="I8" s="12" t="s">
        <v>186</v>
      </c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7.6">
      <c r="A9" s="12" t="s">
        <v>207</v>
      </c>
      <c r="B9" s="12" t="s">
        <v>112</v>
      </c>
      <c r="C9" s="12" t="s">
        <v>183</v>
      </c>
      <c r="D9" s="12" t="s">
        <v>208</v>
      </c>
      <c r="E9" s="12" t="s">
        <v>209</v>
      </c>
      <c r="F9" s="13" t="s">
        <v>210</v>
      </c>
      <c r="G9" s="12" t="s">
        <v>145</v>
      </c>
      <c r="H9" s="15">
        <v>0</v>
      </c>
      <c r="I9" s="12" t="s">
        <v>186</v>
      </c>
      <c r="J9" s="1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7.6">
      <c r="A10" s="12" t="s">
        <v>211</v>
      </c>
      <c r="B10" s="12" t="s">
        <v>112</v>
      </c>
      <c r="C10" s="12" t="s">
        <v>183</v>
      </c>
      <c r="D10" s="12" t="s">
        <v>212</v>
      </c>
      <c r="E10" s="12" t="s">
        <v>213</v>
      </c>
      <c r="F10" s="13" t="s">
        <v>214</v>
      </c>
      <c r="G10" s="12" t="s">
        <v>145</v>
      </c>
      <c r="H10" s="15">
        <v>0</v>
      </c>
      <c r="I10" s="12" t="s">
        <v>186</v>
      </c>
      <c r="J10" s="1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7.6">
      <c r="A11" s="12" t="s">
        <v>215</v>
      </c>
      <c r="B11" s="12" t="s">
        <v>112</v>
      </c>
      <c r="C11" s="12" t="s">
        <v>183</v>
      </c>
      <c r="D11" s="12" t="s">
        <v>216</v>
      </c>
      <c r="E11" s="12" t="s">
        <v>217</v>
      </c>
      <c r="F11" s="13" t="s">
        <v>218</v>
      </c>
      <c r="G11" s="12" t="s">
        <v>145</v>
      </c>
      <c r="H11" s="15">
        <v>0</v>
      </c>
      <c r="I11" s="12" t="s">
        <v>186</v>
      </c>
      <c r="J11" s="1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7.6">
      <c r="A12" s="12" t="s">
        <v>219</v>
      </c>
      <c r="B12" s="12" t="s">
        <v>112</v>
      </c>
      <c r="C12" s="12" t="s">
        <v>183</v>
      </c>
      <c r="D12" s="12" t="s">
        <v>216</v>
      </c>
      <c r="E12" s="12" t="s">
        <v>220</v>
      </c>
      <c r="F12" s="13" t="s">
        <v>221</v>
      </c>
      <c r="G12" s="12" t="s">
        <v>145</v>
      </c>
      <c r="H12" s="15">
        <v>0</v>
      </c>
      <c r="I12" s="12" t="s">
        <v>186</v>
      </c>
      <c r="J12" s="13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7.6">
      <c r="A13" s="12" t="s">
        <v>222</v>
      </c>
      <c r="B13" s="12" t="s">
        <v>112</v>
      </c>
      <c r="C13" s="12" t="s">
        <v>183</v>
      </c>
      <c r="D13" s="12" t="s">
        <v>223</v>
      </c>
      <c r="E13" s="12" t="s">
        <v>224</v>
      </c>
      <c r="F13" s="13" t="s">
        <v>225</v>
      </c>
      <c r="G13" s="12" t="s">
        <v>145</v>
      </c>
      <c r="H13" s="15">
        <v>0</v>
      </c>
      <c r="I13" s="12" t="s">
        <v>186</v>
      </c>
      <c r="J13" s="1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 t="s">
        <v>226</v>
      </c>
      <c r="B14" s="12" t="s">
        <v>112</v>
      </c>
      <c r="C14" s="12" t="s">
        <v>183</v>
      </c>
      <c r="D14" s="12" t="s">
        <v>14</v>
      </c>
      <c r="E14" s="12" t="s">
        <v>227</v>
      </c>
      <c r="F14" s="13" t="s">
        <v>228</v>
      </c>
      <c r="G14" s="12" t="s">
        <v>145</v>
      </c>
      <c r="H14" s="15">
        <f t="shared" ref="H14:H54" si="0">IF(G14="Done",100,IF(G14="In Progress",50,0))</f>
        <v>0</v>
      </c>
      <c r="I14" s="12" t="str">
        <f t="shared" ref="I14:I54" si="1">IF(G14="Done","Yes","No")</f>
        <v>No</v>
      </c>
      <c r="J14" s="1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 t="s">
        <v>229</v>
      </c>
      <c r="B15" s="12" t="s">
        <v>230</v>
      </c>
      <c r="C15" s="12" t="s">
        <v>231</v>
      </c>
      <c r="D15" s="12" t="s">
        <v>19</v>
      </c>
      <c r="E15" s="12" t="s">
        <v>232</v>
      </c>
      <c r="F15" s="13" t="s">
        <v>233</v>
      </c>
      <c r="G15" s="12" t="s">
        <v>145</v>
      </c>
      <c r="H15" s="15">
        <f t="shared" si="0"/>
        <v>0</v>
      </c>
      <c r="I15" s="12" t="str">
        <f t="shared" si="1"/>
        <v>No</v>
      </c>
      <c r="J15" s="1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 t="s">
        <v>234</v>
      </c>
      <c r="B16" s="12" t="s">
        <v>230</v>
      </c>
      <c r="C16" s="12" t="s">
        <v>231</v>
      </c>
      <c r="D16" s="12" t="s">
        <v>19</v>
      </c>
      <c r="E16" s="12" t="s">
        <v>235</v>
      </c>
      <c r="F16" s="13" t="s">
        <v>236</v>
      </c>
      <c r="G16" s="12" t="s">
        <v>145</v>
      </c>
      <c r="H16" s="15">
        <f t="shared" si="0"/>
        <v>0</v>
      </c>
      <c r="I16" s="12" t="str">
        <f t="shared" si="1"/>
        <v>No</v>
      </c>
      <c r="J16" s="1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 t="s">
        <v>237</v>
      </c>
      <c r="B17" s="12" t="s">
        <v>230</v>
      </c>
      <c r="C17" s="12" t="s">
        <v>231</v>
      </c>
      <c r="D17" s="12" t="s">
        <v>19</v>
      </c>
      <c r="E17" s="12" t="s">
        <v>238</v>
      </c>
      <c r="F17" s="13" t="s">
        <v>239</v>
      </c>
      <c r="G17" s="12" t="s">
        <v>145</v>
      </c>
      <c r="H17" s="15">
        <f t="shared" si="0"/>
        <v>0</v>
      </c>
      <c r="I17" s="12" t="str">
        <f t="shared" si="1"/>
        <v>No</v>
      </c>
      <c r="J17" s="1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 t="s">
        <v>240</v>
      </c>
      <c r="B18" s="12" t="s">
        <v>230</v>
      </c>
      <c r="C18" s="12" t="s">
        <v>231</v>
      </c>
      <c r="D18" s="12" t="s">
        <v>19</v>
      </c>
      <c r="E18" s="12" t="s">
        <v>241</v>
      </c>
      <c r="F18" s="13" t="s">
        <v>242</v>
      </c>
      <c r="G18" s="12" t="s">
        <v>145</v>
      </c>
      <c r="H18" s="15">
        <f t="shared" si="0"/>
        <v>0</v>
      </c>
      <c r="I18" s="12" t="str">
        <f t="shared" si="1"/>
        <v>No</v>
      </c>
      <c r="J18" s="13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 t="s">
        <v>243</v>
      </c>
      <c r="B19" s="12" t="s">
        <v>230</v>
      </c>
      <c r="C19" s="12" t="s">
        <v>231</v>
      </c>
      <c r="D19" s="12" t="s">
        <v>19</v>
      </c>
      <c r="E19" s="12" t="s">
        <v>244</v>
      </c>
      <c r="F19" s="13" t="s">
        <v>245</v>
      </c>
      <c r="G19" s="12" t="s">
        <v>145</v>
      </c>
      <c r="H19" s="15">
        <f t="shared" si="0"/>
        <v>0</v>
      </c>
      <c r="I19" s="12" t="str">
        <f t="shared" si="1"/>
        <v>No</v>
      </c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 t="s">
        <v>246</v>
      </c>
      <c r="B20" s="12" t="s">
        <v>230</v>
      </c>
      <c r="C20" s="12" t="s">
        <v>231</v>
      </c>
      <c r="D20" s="12" t="s">
        <v>19</v>
      </c>
      <c r="E20" s="12" t="s">
        <v>247</v>
      </c>
      <c r="F20" s="13" t="s">
        <v>248</v>
      </c>
      <c r="G20" s="12" t="s">
        <v>145</v>
      </c>
      <c r="H20" s="15">
        <f t="shared" si="0"/>
        <v>0</v>
      </c>
      <c r="I20" s="12" t="str">
        <f t="shared" si="1"/>
        <v>No</v>
      </c>
      <c r="J20" s="1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 t="s">
        <v>249</v>
      </c>
      <c r="B21" s="12" t="s">
        <v>230</v>
      </c>
      <c r="C21" s="12" t="s">
        <v>231</v>
      </c>
      <c r="D21" s="12" t="s">
        <v>19</v>
      </c>
      <c r="E21" s="12" t="s">
        <v>57</v>
      </c>
      <c r="F21" s="13" t="s">
        <v>250</v>
      </c>
      <c r="G21" s="12" t="s">
        <v>145</v>
      </c>
      <c r="H21" s="15">
        <f t="shared" si="0"/>
        <v>0</v>
      </c>
      <c r="I21" s="12" t="str">
        <f t="shared" si="1"/>
        <v>No</v>
      </c>
      <c r="J21" s="1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 t="s">
        <v>251</v>
      </c>
      <c r="B22" s="12" t="s">
        <v>230</v>
      </c>
      <c r="C22" s="12" t="s">
        <v>231</v>
      </c>
      <c r="D22" s="12" t="s">
        <v>19</v>
      </c>
      <c r="E22" s="12" t="s">
        <v>57</v>
      </c>
      <c r="F22" s="13" t="s">
        <v>252</v>
      </c>
      <c r="G22" s="12" t="s">
        <v>145</v>
      </c>
      <c r="H22" s="15">
        <f t="shared" si="0"/>
        <v>0</v>
      </c>
      <c r="I22" s="12" t="str">
        <f t="shared" si="1"/>
        <v>No</v>
      </c>
      <c r="J22" s="1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 t="s">
        <v>253</v>
      </c>
      <c r="B23" s="12" t="s">
        <v>230</v>
      </c>
      <c r="C23" s="12" t="s">
        <v>231</v>
      </c>
      <c r="D23" s="12" t="s">
        <v>19</v>
      </c>
      <c r="E23" s="12" t="s">
        <v>254</v>
      </c>
      <c r="F23" s="13" t="s">
        <v>255</v>
      </c>
      <c r="G23" s="12" t="s">
        <v>145</v>
      </c>
      <c r="H23" s="15">
        <f t="shared" si="0"/>
        <v>0</v>
      </c>
      <c r="I23" s="12" t="str">
        <f t="shared" si="1"/>
        <v>No</v>
      </c>
      <c r="J23" s="1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 t="s">
        <v>256</v>
      </c>
      <c r="B24" s="12" t="s">
        <v>230</v>
      </c>
      <c r="C24" s="12" t="s">
        <v>231</v>
      </c>
      <c r="D24" s="12" t="s">
        <v>19</v>
      </c>
      <c r="E24" s="12" t="s">
        <v>257</v>
      </c>
      <c r="F24" s="13" t="s">
        <v>258</v>
      </c>
      <c r="G24" s="12" t="s">
        <v>145</v>
      </c>
      <c r="H24" s="15">
        <f t="shared" si="0"/>
        <v>0</v>
      </c>
      <c r="I24" s="12" t="str">
        <f t="shared" si="1"/>
        <v>No</v>
      </c>
      <c r="J24" s="1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 t="s">
        <v>259</v>
      </c>
      <c r="B25" s="12" t="s">
        <v>230</v>
      </c>
      <c r="C25" s="12" t="s">
        <v>231</v>
      </c>
      <c r="D25" s="12" t="s">
        <v>19</v>
      </c>
      <c r="E25" s="12" t="s">
        <v>260</v>
      </c>
      <c r="F25" s="13" t="s">
        <v>261</v>
      </c>
      <c r="G25" s="12" t="s">
        <v>145</v>
      </c>
      <c r="H25" s="15">
        <f t="shared" si="0"/>
        <v>0</v>
      </c>
      <c r="I25" s="12" t="str">
        <f t="shared" si="1"/>
        <v>No</v>
      </c>
      <c r="J25" s="1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 t="s">
        <v>262</v>
      </c>
      <c r="B26" s="12" t="s">
        <v>230</v>
      </c>
      <c r="C26" s="12" t="s">
        <v>231</v>
      </c>
      <c r="D26" s="12" t="s">
        <v>19</v>
      </c>
      <c r="E26" s="12" t="s">
        <v>263</v>
      </c>
      <c r="F26" s="13" t="s">
        <v>264</v>
      </c>
      <c r="G26" s="12" t="s">
        <v>145</v>
      </c>
      <c r="H26" s="15">
        <f t="shared" si="0"/>
        <v>0</v>
      </c>
      <c r="I26" s="12" t="str">
        <f t="shared" si="1"/>
        <v>No</v>
      </c>
      <c r="J26" s="1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 t="s">
        <v>265</v>
      </c>
      <c r="B27" s="12" t="s">
        <v>266</v>
      </c>
      <c r="C27" s="12" t="s">
        <v>267</v>
      </c>
      <c r="D27" s="12" t="s">
        <v>24</v>
      </c>
      <c r="E27" s="12" t="s">
        <v>268</v>
      </c>
      <c r="F27" s="13" t="s">
        <v>269</v>
      </c>
      <c r="G27" s="12" t="s">
        <v>145</v>
      </c>
      <c r="H27" s="15">
        <f t="shared" si="0"/>
        <v>0</v>
      </c>
      <c r="I27" s="12" t="str">
        <f t="shared" si="1"/>
        <v>No</v>
      </c>
      <c r="J27" s="1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 t="s">
        <v>270</v>
      </c>
      <c r="B28" s="12" t="s">
        <v>266</v>
      </c>
      <c r="C28" s="12" t="s">
        <v>267</v>
      </c>
      <c r="D28" s="12" t="s">
        <v>24</v>
      </c>
      <c r="E28" s="12" t="s">
        <v>271</v>
      </c>
      <c r="F28" s="13" t="s">
        <v>272</v>
      </c>
      <c r="G28" s="12" t="s">
        <v>145</v>
      </c>
      <c r="H28" s="15">
        <f t="shared" si="0"/>
        <v>0</v>
      </c>
      <c r="I28" s="12" t="str">
        <f t="shared" si="1"/>
        <v>No</v>
      </c>
      <c r="J28" s="1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 t="s">
        <v>273</v>
      </c>
      <c r="B29" s="12" t="s">
        <v>266</v>
      </c>
      <c r="C29" s="12" t="s">
        <v>267</v>
      </c>
      <c r="D29" s="12" t="s">
        <v>24</v>
      </c>
      <c r="E29" s="12" t="s">
        <v>271</v>
      </c>
      <c r="F29" s="13" t="s">
        <v>274</v>
      </c>
      <c r="G29" s="12" t="s">
        <v>145</v>
      </c>
      <c r="H29" s="15">
        <f t="shared" si="0"/>
        <v>0</v>
      </c>
      <c r="I29" s="12" t="str">
        <f t="shared" si="1"/>
        <v>No</v>
      </c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 t="s">
        <v>275</v>
      </c>
      <c r="B30" s="12" t="s">
        <v>266</v>
      </c>
      <c r="C30" s="12" t="s">
        <v>267</v>
      </c>
      <c r="D30" s="12" t="s">
        <v>24</v>
      </c>
      <c r="E30" s="12" t="s">
        <v>276</v>
      </c>
      <c r="F30" s="13" t="s">
        <v>277</v>
      </c>
      <c r="G30" s="12" t="s">
        <v>145</v>
      </c>
      <c r="H30" s="15">
        <f t="shared" si="0"/>
        <v>0</v>
      </c>
      <c r="I30" s="12" t="str">
        <f t="shared" si="1"/>
        <v>No</v>
      </c>
      <c r="J30" s="1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 t="s">
        <v>278</v>
      </c>
      <c r="B31" s="12" t="s">
        <v>266</v>
      </c>
      <c r="C31" s="12" t="s">
        <v>267</v>
      </c>
      <c r="D31" s="12" t="s">
        <v>24</v>
      </c>
      <c r="E31" s="12" t="s">
        <v>276</v>
      </c>
      <c r="F31" s="13" t="s">
        <v>279</v>
      </c>
      <c r="G31" s="12" t="s">
        <v>145</v>
      </c>
      <c r="H31" s="15">
        <f t="shared" si="0"/>
        <v>0</v>
      </c>
      <c r="I31" s="12" t="str">
        <f t="shared" si="1"/>
        <v>No</v>
      </c>
      <c r="J31" s="1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 t="s">
        <v>280</v>
      </c>
      <c r="B32" s="12" t="s">
        <v>266</v>
      </c>
      <c r="C32" s="12" t="s">
        <v>267</v>
      </c>
      <c r="D32" s="12" t="s">
        <v>24</v>
      </c>
      <c r="E32" s="12" t="s">
        <v>276</v>
      </c>
      <c r="F32" s="13" t="s">
        <v>281</v>
      </c>
      <c r="G32" s="12" t="s">
        <v>145</v>
      </c>
      <c r="H32" s="15">
        <f t="shared" si="0"/>
        <v>0</v>
      </c>
      <c r="I32" s="12" t="str">
        <f t="shared" si="1"/>
        <v>No</v>
      </c>
      <c r="J32" s="1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 t="s">
        <v>282</v>
      </c>
      <c r="B33" s="12" t="s">
        <v>266</v>
      </c>
      <c r="C33" s="12" t="s">
        <v>267</v>
      </c>
      <c r="D33" s="12" t="s">
        <v>24</v>
      </c>
      <c r="E33" s="12" t="s">
        <v>283</v>
      </c>
      <c r="F33" s="13" t="s">
        <v>284</v>
      </c>
      <c r="G33" s="12" t="s">
        <v>145</v>
      </c>
      <c r="H33" s="15">
        <f t="shared" si="0"/>
        <v>0</v>
      </c>
      <c r="I33" s="12" t="str">
        <f t="shared" si="1"/>
        <v>No</v>
      </c>
      <c r="J33" s="13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 t="s">
        <v>285</v>
      </c>
      <c r="B34" s="12" t="s">
        <v>266</v>
      </c>
      <c r="C34" s="12" t="s">
        <v>267</v>
      </c>
      <c r="D34" s="12" t="s">
        <v>24</v>
      </c>
      <c r="E34" s="12" t="s">
        <v>283</v>
      </c>
      <c r="F34" s="13" t="s">
        <v>286</v>
      </c>
      <c r="G34" s="12" t="s">
        <v>145</v>
      </c>
      <c r="H34" s="15">
        <f t="shared" si="0"/>
        <v>0</v>
      </c>
      <c r="I34" s="12" t="str">
        <f t="shared" si="1"/>
        <v>No</v>
      </c>
      <c r="J34" s="13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 t="s">
        <v>287</v>
      </c>
      <c r="B35" s="12" t="s">
        <v>266</v>
      </c>
      <c r="C35" s="12" t="s">
        <v>267</v>
      </c>
      <c r="D35" s="12" t="s">
        <v>24</v>
      </c>
      <c r="E35" s="12" t="s">
        <v>283</v>
      </c>
      <c r="F35" s="13" t="s">
        <v>288</v>
      </c>
      <c r="G35" s="12" t="s">
        <v>145</v>
      </c>
      <c r="H35" s="15">
        <f t="shared" si="0"/>
        <v>0</v>
      </c>
      <c r="I35" s="12" t="str">
        <f t="shared" si="1"/>
        <v>No</v>
      </c>
      <c r="J35" s="1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 t="s">
        <v>289</v>
      </c>
      <c r="B36" s="12" t="s">
        <v>266</v>
      </c>
      <c r="C36" s="12" t="s">
        <v>267</v>
      </c>
      <c r="D36" s="12" t="s">
        <v>29</v>
      </c>
      <c r="E36" s="12" t="s">
        <v>290</v>
      </c>
      <c r="F36" s="13" t="s">
        <v>291</v>
      </c>
      <c r="G36" s="12" t="s">
        <v>145</v>
      </c>
      <c r="H36" s="15">
        <f t="shared" si="0"/>
        <v>0</v>
      </c>
      <c r="I36" s="12" t="str">
        <f t="shared" si="1"/>
        <v>No</v>
      </c>
      <c r="J36" s="13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 t="s">
        <v>292</v>
      </c>
      <c r="B37" s="12" t="s">
        <v>266</v>
      </c>
      <c r="C37" s="12" t="s">
        <v>267</v>
      </c>
      <c r="D37" s="12" t="s">
        <v>29</v>
      </c>
      <c r="E37" s="12" t="s">
        <v>293</v>
      </c>
      <c r="F37" s="13" t="s">
        <v>294</v>
      </c>
      <c r="G37" s="12" t="s">
        <v>145</v>
      </c>
      <c r="H37" s="15">
        <f t="shared" si="0"/>
        <v>0</v>
      </c>
      <c r="I37" s="12" t="str">
        <f t="shared" si="1"/>
        <v>No</v>
      </c>
      <c r="J37" s="1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 t="s">
        <v>295</v>
      </c>
      <c r="B38" s="12" t="s">
        <v>266</v>
      </c>
      <c r="C38" s="12" t="s">
        <v>267</v>
      </c>
      <c r="D38" s="12" t="s">
        <v>24</v>
      </c>
      <c r="E38" s="12" t="s">
        <v>296</v>
      </c>
      <c r="F38" s="13" t="s">
        <v>297</v>
      </c>
      <c r="G38" s="12" t="s">
        <v>145</v>
      </c>
      <c r="H38" s="15">
        <f t="shared" si="0"/>
        <v>0</v>
      </c>
      <c r="I38" s="12" t="str">
        <f t="shared" si="1"/>
        <v>No</v>
      </c>
      <c r="J38" s="13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 t="s">
        <v>298</v>
      </c>
      <c r="B39" s="12" t="s">
        <v>299</v>
      </c>
      <c r="C39" s="12" t="s">
        <v>300</v>
      </c>
      <c r="D39" s="12" t="s">
        <v>24</v>
      </c>
      <c r="E39" s="12" t="s">
        <v>68</v>
      </c>
      <c r="F39" s="13" t="s">
        <v>301</v>
      </c>
      <c r="G39" s="12" t="s">
        <v>145</v>
      </c>
      <c r="H39" s="15">
        <f t="shared" si="0"/>
        <v>0</v>
      </c>
      <c r="I39" s="12" t="str">
        <f t="shared" si="1"/>
        <v>No</v>
      </c>
      <c r="J39" s="13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 t="s">
        <v>302</v>
      </c>
      <c r="B40" s="12" t="s">
        <v>299</v>
      </c>
      <c r="C40" s="12" t="s">
        <v>300</v>
      </c>
      <c r="D40" s="12" t="s">
        <v>24</v>
      </c>
      <c r="E40" s="12" t="s">
        <v>68</v>
      </c>
      <c r="F40" s="13" t="s">
        <v>303</v>
      </c>
      <c r="G40" s="12" t="s">
        <v>145</v>
      </c>
      <c r="H40" s="15">
        <f t="shared" si="0"/>
        <v>0</v>
      </c>
      <c r="I40" s="12" t="str">
        <f t="shared" si="1"/>
        <v>No</v>
      </c>
      <c r="J40" s="13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 t="s">
        <v>304</v>
      </c>
      <c r="B41" s="12" t="s">
        <v>299</v>
      </c>
      <c r="C41" s="12" t="s">
        <v>300</v>
      </c>
      <c r="D41" s="12" t="s">
        <v>24</v>
      </c>
      <c r="E41" s="12" t="s">
        <v>68</v>
      </c>
      <c r="F41" s="13" t="s">
        <v>305</v>
      </c>
      <c r="G41" s="12" t="s">
        <v>145</v>
      </c>
      <c r="H41" s="15">
        <f t="shared" si="0"/>
        <v>0</v>
      </c>
      <c r="I41" s="12" t="str">
        <f t="shared" si="1"/>
        <v>No</v>
      </c>
      <c r="J41" s="13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 t="s">
        <v>306</v>
      </c>
      <c r="B42" s="12" t="s">
        <v>299</v>
      </c>
      <c r="C42" s="12" t="s">
        <v>300</v>
      </c>
      <c r="D42" s="12" t="s">
        <v>24</v>
      </c>
      <c r="E42" s="12" t="s">
        <v>68</v>
      </c>
      <c r="F42" s="13" t="s">
        <v>307</v>
      </c>
      <c r="G42" s="12" t="s">
        <v>145</v>
      </c>
      <c r="H42" s="15">
        <f t="shared" si="0"/>
        <v>0</v>
      </c>
      <c r="I42" s="12" t="str">
        <f t="shared" si="1"/>
        <v>No</v>
      </c>
      <c r="J42" s="13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 t="s">
        <v>308</v>
      </c>
      <c r="B43" s="12" t="s">
        <v>299</v>
      </c>
      <c r="C43" s="12" t="s">
        <v>300</v>
      </c>
      <c r="D43" s="12" t="s">
        <v>24</v>
      </c>
      <c r="E43" s="12" t="s">
        <v>309</v>
      </c>
      <c r="F43" s="13" t="s">
        <v>310</v>
      </c>
      <c r="G43" s="12" t="s">
        <v>145</v>
      </c>
      <c r="H43" s="15">
        <f t="shared" si="0"/>
        <v>0</v>
      </c>
      <c r="I43" s="12" t="str">
        <f t="shared" si="1"/>
        <v>No</v>
      </c>
      <c r="J43" s="13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 t="s">
        <v>311</v>
      </c>
      <c r="B44" s="12" t="s">
        <v>299</v>
      </c>
      <c r="C44" s="12" t="s">
        <v>300</v>
      </c>
      <c r="D44" s="12" t="s">
        <v>24</v>
      </c>
      <c r="E44" s="12" t="s">
        <v>312</v>
      </c>
      <c r="F44" s="13" t="s">
        <v>313</v>
      </c>
      <c r="G44" s="12" t="s">
        <v>145</v>
      </c>
      <c r="H44" s="15">
        <f t="shared" si="0"/>
        <v>0</v>
      </c>
      <c r="I44" s="12" t="str">
        <f t="shared" si="1"/>
        <v>No</v>
      </c>
      <c r="J44" s="13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 t="s">
        <v>314</v>
      </c>
      <c r="B45" s="12" t="s">
        <v>299</v>
      </c>
      <c r="C45" s="12" t="s">
        <v>300</v>
      </c>
      <c r="D45" s="12" t="s">
        <v>19</v>
      </c>
      <c r="E45" s="12" t="s">
        <v>315</v>
      </c>
      <c r="F45" s="13" t="s">
        <v>316</v>
      </c>
      <c r="G45" s="12" t="s">
        <v>145</v>
      </c>
      <c r="H45" s="15">
        <f t="shared" si="0"/>
        <v>0</v>
      </c>
      <c r="I45" s="12" t="str">
        <f t="shared" si="1"/>
        <v>No</v>
      </c>
      <c r="J45" s="13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 t="s">
        <v>317</v>
      </c>
      <c r="B46" s="12" t="s">
        <v>299</v>
      </c>
      <c r="C46" s="12" t="s">
        <v>300</v>
      </c>
      <c r="D46" s="12" t="s">
        <v>19</v>
      </c>
      <c r="E46" s="12" t="s">
        <v>315</v>
      </c>
      <c r="F46" s="13" t="s">
        <v>318</v>
      </c>
      <c r="G46" s="12" t="s">
        <v>145</v>
      </c>
      <c r="H46" s="15">
        <f t="shared" si="0"/>
        <v>0</v>
      </c>
      <c r="I46" s="12" t="str">
        <f t="shared" si="1"/>
        <v>No</v>
      </c>
      <c r="J46" s="13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 t="s">
        <v>319</v>
      </c>
      <c r="B47" s="12" t="s">
        <v>299</v>
      </c>
      <c r="C47" s="12" t="s">
        <v>300</v>
      </c>
      <c r="D47" s="12" t="s">
        <v>19</v>
      </c>
      <c r="E47" s="12" t="s">
        <v>315</v>
      </c>
      <c r="F47" s="13" t="s">
        <v>320</v>
      </c>
      <c r="G47" s="12" t="s">
        <v>145</v>
      </c>
      <c r="H47" s="15">
        <f t="shared" si="0"/>
        <v>0</v>
      </c>
      <c r="I47" s="12" t="str">
        <f t="shared" si="1"/>
        <v>No</v>
      </c>
      <c r="J47" s="13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 t="s">
        <v>321</v>
      </c>
      <c r="B48" s="12" t="s">
        <v>299</v>
      </c>
      <c r="C48" s="12" t="s">
        <v>300</v>
      </c>
      <c r="D48" s="12" t="s">
        <v>34</v>
      </c>
      <c r="E48" s="12" t="s">
        <v>88</v>
      </c>
      <c r="F48" s="13" t="s">
        <v>322</v>
      </c>
      <c r="G48" s="12" t="s">
        <v>145</v>
      </c>
      <c r="H48" s="15">
        <f t="shared" si="0"/>
        <v>0</v>
      </c>
      <c r="I48" s="12" t="str">
        <f t="shared" si="1"/>
        <v>No</v>
      </c>
      <c r="J48" s="13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 t="s">
        <v>323</v>
      </c>
      <c r="B49" s="12" t="s">
        <v>299</v>
      </c>
      <c r="C49" s="12" t="s">
        <v>300</v>
      </c>
      <c r="D49" s="12" t="s">
        <v>34</v>
      </c>
      <c r="E49" s="12" t="s">
        <v>88</v>
      </c>
      <c r="F49" s="13" t="s">
        <v>324</v>
      </c>
      <c r="G49" s="12" t="s">
        <v>145</v>
      </c>
      <c r="H49" s="15">
        <f t="shared" si="0"/>
        <v>0</v>
      </c>
      <c r="I49" s="12" t="str">
        <f t="shared" si="1"/>
        <v>No</v>
      </c>
      <c r="J49" s="13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 t="s">
        <v>325</v>
      </c>
      <c r="B50" s="12" t="s">
        <v>299</v>
      </c>
      <c r="C50" s="12" t="s">
        <v>300</v>
      </c>
      <c r="D50" s="12" t="s">
        <v>34</v>
      </c>
      <c r="E50" s="12" t="s">
        <v>88</v>
      </c>
      <c r="F50" s="13" t="s">
        <v>326</v>
      </c>
      <c r="G50" s="12" t="s">
        <v>145</v>
      </c>
      <c r="H50" s="15">
        <f t="shared" si="0"/>
        <v>0</v>
      </c>
      <c r="I50" s="12" t="str">
        <f t="shared" si="1"/>
        <v>No</v>
      </c>
      <c r="J50" s="13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 t="s">
        <v>327</v>
      </c>
      <c r="B51" s="12" t="s">
        <v>328</v>
      </c>
      <c r="C51" s="12" t="s">
        <v>329</v>
      </c>
      <c r="D51" s="12" t="s">
        <v>29</v>
      </c>
      <c r="E51" s="12" t="s">
        <v>330</v>
      </c>
      <c r="F51" s="13" t="s">
        <v>331</v>
      </c>
      <c r="G51" s="12" t="s">
        <v>145</v>
      </c>
      <c r="H51" s="15">
        <f t="shared" si="0"/>
        <v>0</v>
      </c>
      <c r="I51" s="12" t="str">
        <f t="shared" si="1"/>
        <v>No</v>
      </c>
      <c r="J51" s="13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 t="s">
        <v>332</v>
      </c>
      <c r="B52" s="12" t="s">
        <v>328</v>
      </c>
      <c r="C52" s="12" t="s">
        <v>329</v>
      </c>
      <c r="D52" s="12" t="s">
        <v>29</v>
      </c>
      <c r="E52" s="12" t="s">
        <v>330</v>
      </c>
      <c r="F52" s="13" t="s">
        <v>333</v>
      </c>
      <c r="G52" s="12" t="s">
        <v>145</v>
      </c>
      <c r="H52" s="15">
        <f t="shared" si="0"/>
        <v>0</v>
      </c>
      <c r="I52" s="12" t="str">
        <f t="shared" si="1"/>
        <v>No</v>
      </c>
      <c r="J52" s="13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 t="s">
        <v>334</v>
      </c>
      <c r="B53" s="12" t="s">
        <v>328</v>
      </c>
      <c r="C53" s="12" t="s">
        <v>329</v>
      </c>
      <c r="D53" s="12" t="s">
        <v>29</v>
      </c>
      <c r="E53" s="12" t="s">
        <v>330</v>
      </c>
      <c r="F53" s="13" t="s">
        <v>335</v>
      </c>
      <c r="G53" s="12" t="s">
        <v>145</v>
      </c>
      <c r="H53" s="15">
        <f t="shared" si="0"/>
        <v>0</v>
      </c>
      <c r="I53" s="12" t="str">
        <f t="shared" si="1"/>
        <v>No</v>
      </c>
      <c r="J53" s="13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 t="s">
        <v>336</v>
      </c>
      <c r="B54" s="12" t="s">
        <v>328</v>
      </c>
      <c r="C54" s="12" t="s">
        <v>329</v>
      </c>
      <c r="D54" s="12" t="s">
        <v>19</v>
      </c>
      <c r="E54" s="12" t="s">
        <v>337</v>
      </c>
      <c r="F54" s="13" t="s">
        <v>338</v>
      </c>
      <c r="G54" s="12" t="s">
        <v>145</v>
      </c>
      <c r="H54" s="15">
        <f t="shared" si="0"/>
        <v>0</v>
      </c>
      <c r="I54" s="12" t="str">
        <f t="shared" si="1"/>
        <v>No</v>
      </c>
      <c r="J54" s="13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7.6">
      <c r="A55" s="12" t="s">
        <v>339</v>
      </c>
      <c r="B55" s="12" t="s">
        <v>328</v>
      </c>
      <c r="C55" s="12" t="s">
        <v>329</v>
      </c>
      <c r="D55" s="12" t="s">
        <v>19</v>
      </c>
      <c r="E55" s="12" t="s">
        <v>340</v>
      </c>
      <c r="F55" s="13" t="s">
        <v>341</v>
      </c>
      <c r="G55" s="12" t="s">
        <v>145</v>
      </c>
      <c r="H55" s="15">
        <v>0</v>
      </c>
      <c r="I55" s="12" t="s">
        <v>186</v>
      </c>
      <c r="J55" s="13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 t="s">
        <v>342</v>
      </c>
      <c r="B56" s="12" t="s">
        <v>328</v>
      </c>
      <c r="C56" s="12" t="s">
        <v>329</v>
      </c>
      <c r="D56" s="12" t="s">
        <v>19</v>
      </c>
      <c r="E56" s="12" t="s">
        <v>247</v>
      </c>
      <c r="F56" s="13" t="s">
        <v>343</v>
      </c>
      <c r="G56" s="12" t="s">
        <v>145</v>
      </c>
      <c r="H56" s="15">
        <f t="shared" ref="H56:H63" si="2">IF(G56="Done",100,IF(G56="In Progress",50,0))</f>
        <v>0</v>
      </c>
      <c r="I56" s="12" t="str">
        <f t="shared" ref="I56:I63" si="3">IF(G56="Done","Yes","No")</f>
        <v>No</v>
      </c>
      <c r="J56" s="13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 t="s">
        <v>344</v>
      </c>
      <c r="B57" s="12" t="s">
        <v>328</v>
      </c>
      <c r="C57" s="12" t="s">
        <v>329</v>
      </c>
      <c r="D57" s="12" t="s">
        <v>29</v>
      </c>
      <c r="E57" s="12" t="s">
        <v>29</v>
      </c>
      <c r="F57" s="13" t="s">
        <v>345</v>
      </c>
      <c r="G57" s="12" t="s">
        <v>145</v>
      </c>
      <c r="H57" s="15">
        <f t="shared" si="2"/>
        <v>0</v>
      </c>
      <c r="I57" s="12" t="str">
        <f t="shared" si="3"/>
        <v>No</v>
      </c>
      <c r="J57" s="13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 t="s">
        <v>346</v>
      </c>
      <c r="B58" s="12" t="s">
        <v>328</v>
      </c>
      <c r="C58" s="12" t="s">
        <v>329</v>
      </c>
      <c r="D58" s="12" t="s">
        <v>29</v>
      </c>
      <c r="E58" s="12" t="s">
        <v>293</v>
      </c>
      <c r="F58" s="13" t="s">
        <v>347</v>
      </c>
      <c r="G58" s="12" t="s">
        <v>145</v>
      </c>
      <c r="H58" s="15">
        <f t="shared" si="2"/>
        <v>0</v>
      </c>
      <c r="I58" s="12" t="str">
        <f t="shared" si="3"/>
        <v>No</v>
      </c>
      <c r="J58" s="13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 t="s">
        <v>348</v>
      </c>
      <c r="B59" s="12" t="s">
        <v>328</v>
      </c>
      <c r="C59" s="12" t="s">
        <v>329</v>
      </c>
      <c r="D59" s="12" t="s">
        <v>29</v>
      </c>
      <c r="E59" s="12" t="s">
        <v>349</v>
      </c>
      <c r="F59" s="13" t="s">
        <v>350</v>
      </c>
      <c r="G59" s="12" t="s">
        <v>145</v>
      </c>
      <c r="H59" s="15">
        <f t="shared" si="2"/>
        <v>0</v>
      </c>
      <c r="I59" s="12" t="str">
        <f t="shared" si="3"/>
        <v>No</v>
      </c>
      <c r="J59" s="13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 t="s">
        <v>351</v>
      </c>
      <c r="B60" s="12" t="s">
        <v>328</v>
      </c>
      <c r="C60" s="12" t="s">
        <v>329</v>
      </c>
      <c r="D60" s="12" t="s">
        <v>29</v>
      </c>
      <c r="E60" s="12" t="s">
        <v>349</v>
      </c>
      <c r="F60" s="13" t="s">
        <v>352</v>
      </c>
      <c r="G60" s="12" t="s">
        <v>145</v>
      </c>
      <c r="H60" s="15">
        <f t="shared" si="2"/>
        <v>0</v>
      </c>
      <c r="I60" s="12" t="str">
        <f t="shared" si="3"/>
        <v>No</v>
      </c>
      <c r="J60" s="13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 t="s">
        <v>353</v>
      </c>
      <c r="B61" s="12" t="s">
        <v>328</v>
      </c>
      <c r="C61" s="12" t="s">
        <v>329</v>
      </c>
      <c r="D61" s="12" t="s">
        <v>29</v>
      </c>
      <c r="E61" s="12" t="s">
        <v>349</v>
      </c>
      <c r="F61" s="13" t="s">
        <v>354</v>
      </c>
      <c r="G61" s="12" t="s">
        <v>145</v>
      </c>
      <c r="H61" s="15">
        <f t="shared" si="2"/>
        <v>0</v>
      </c>
      <c r="I61" s="12" t="str">
        <f t="shared" si="3"/>
        <v>No</v>
      </c>
      <c r="J61" s="13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 t="s">
        <v>355</v>
      </c>
      <c r="B62" s="12" t="s">
        <v>328</v>
      </c>
      <c r="C62" s="12" t="s">
        <v>329</v>
      </c>
      <c r="D62" s="12" t="s">
        <v>29</v>
      </c>
      <c r="E62" s="12" t="s">
        <v>349</v>
      </c>
      <c r="F62" s="13" t="s">
        <v>356</v>
      </c>
      <c r="G62" s="12" t="s">
        <v>145</v>
      </c>
      <c r="H62" s="15">
        <f t="shared" si="2"/>
        <v>0</v>
      </c>
      <c r="I62" s="12" t="str">
        <f t="shared" si="3"/>
        <v>No</v>
      </c>
      <c r="J62" s="13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 t="s">
        <v>357</v>
      </c>
      <c r="B63" s="12" t="s">
        <v>358</v>
      </c>
      <c r="C63" s="12" t="s">
        <v>329</v>
      </c>
      <c r="D63" s="12" t="s">
        <v>349</v>
      </c>
      <c r="E63" s="12" t="s">
        <v>359</v>
      </c>
      <c r="F63" s="13" t="s">
        <v>360</v>
      </c>
      <c r="G63" s="12" t="s">
        <v>145</v>
      </c>
      <c r="H63" s="15">
        <f t="shared" si="2"/>
        <v>0</v>
      </c>
      <c r="I63" s="12" t="str">
        <f t="shared" si="3"/>
        <v>No</v>
      </c>
      <c r="J63" s="13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conditionalFormatting sqref="G2:G63">
    <cfRule type="expression" dxfId="31" priority="1">
      <formula>G2="Done"</formula>
    </cfRule>
    <cfRule type="expression" dxfId="30" priority="2">
      <formula>G2="In Progress"</formula>
    </cfRule>
    <cfRule type="expression" dxfId="29" priority="3">
      <formula>G2="Not Started"</formula>
    </cfRule>
  </conditionalFormatting>
  <conditionalFormatting sqref="H2:H63">
    <cfRule type="dataBar" priority="4">
      <dataBar>
        <cfvo type="min"/>
        <cfvo type="max"/>
        <color rgb="FFD32F2F"/>
      </dataBar>
    </cfRule>
    <cfRule type="dataBar" priority="5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{D28431E4-EFC0-73BF-ED44-3C635EDBA5F5}</x14:id>
        </ext>
      </extLst>
    </cfRule>
  </conditionalFormatting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8431E4-EFC0-73BF-ED44-3C635EDBA5F5}">
            <x14:dataBar>
              <x14:cfvo type="min"/>
              <x14:cfvo type="max"/>
              <x14:negativeFillColor auto="1"/>
              <x14:axisColor auto="1"/>
            </x14:dataBar>
          </x14:cfRule>
          <xm:sqref>H2:H63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Lists!$A$2:$A$4</xm:f>
          </x14:formula1>
          <xm:sqref>G2:G65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6" width="18" customWidth="1"/>
  </cols>
  <sheetData>
    <row r="1" spans="1:26" ht="27.6">
      <c r="A1" s="42" t="s">
        <v>361</v>
      </c>
      <c r="B1" s="42" t="s">
        <v>136</v>
      </c>
      <c r="C1" s="42" t="s">
        <v>362</v>
      </c>
      <c r="D1" s="42" t="s">
        <v>363</v>
      </c>
      <c r="E1" s="42" t="s">
        <v>139</v>
      </c>
      <c r="F1" s="42" t="s">
        <v>364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1.4">
      <c r="A2" s="13" t="s">
        <v>365</v>
      </c>
      <c r="B2" s="13" t="s">
        <v>14</v>
      </c>
      <c r="C2" s="13" t="s">
        <v>112</v>
      </c>
      <c r="D2" s="13" t="s">
        <v>366</v>
      </c>
      <c r="E2" s="13" t="s">
        <v>145</v>
      </c>
      <c r="F2" s="13">
        <v>500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41.4">
      <c r="A3" s="13" t="s">
        <v>367</v>
      </c>
      <c r="B3" s="13" t="s">
        <v>14</v>
      </c>
      <c r="C3" s="13" t="s">
        <v>112</v>
      </c>
      <c r="D3" s="13" t="s">
        <v>368</v>
      </c>
      <c r="E3" s="13" t="s">
        <v>145</v>
      </c>
      <c r="F3" s="13">
        <v>500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1.4">
      <c r="A4" s="13" t="s">
        <v>369</v>
      </c>
      <c r="B4" s="13" t="s">
        <v>14</v>
      </c>
      <c r="C4" s="13" t="s">
        <v>112</v>
      </c>
      <c r="D4" s="13" t="s">
        <v>370</v>
      </c>
      <c r="E4" s="13" t="s">
        <v>145</v>
      </c>
      <c r="F4" s="13">
        <v>400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1.4">
      <c r="A5" s="13" t="s">
        <v>371</v>
      </c>
      <c r="B5" s="13" t="s">
        <v>34</v>
      </c>
      <c r="C5" s="13" t="s">
        <v>328</v>
      </c>
      <c r="D5" s="13" t="s">
        <v>372</v>
      </c>
      <c r="E5" s="13" t="s">
        <v>145</v>
      </c>
      <c r="F5" s="13">
        <v>600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55.2">
      <c r="A6" s="13" t="s">
        <v>373</v>
      </c>
      <c r="B6" s="13" t="s">
        <v>34</v>
      </c>
      <c r="C6" s="13" t="s">
        <v>328</v>
      </c>
      <c r="D6" s="13" t="s">
        <v>374</v>
      </c>
      <c r="E6" s="13" t="s">
        <v>145</v>
      </c>
      <c r="F6" s="13">
        <v>500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1.4">
      <c r="A7" s="13" t="s">
        <v>283</v>
      </c>
      <c r="B7" s="13" t="s">
        <v>24</v>
      </c>
      <c r="C7" s="13" t="s">
        <v>299</v>
      </c>
      <c r="D7" s="13" t="s">
        <v>375</v>
      </c>
      <c r="E7" s="13" t="s">
        <v>145</v>
      </c>
      <c r="F7" s="13">
        <v>700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1.4">
      <c r="A8" s="13" t="s">
        <v>235</v>
      </c>
      <c r="B8" s="13" t="s">
        <v>19</v>
      </c>
      <c r="C8" s="13" t="s">
        <v>266</v>
      </c>
      <c r="D8" s="13" t="s">
        <v>376</v>
      </c>
      <c r="E8" s="13" t="s">
        <v>145</v>
      </c>
      <c r="F8" s="13">
        <v>600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7.6">
      <c r="A9" s="13" t="s">
        <v>238</v>
      </c>
      <c r="B9" s="13" t="s">
        <v>19</v>
      </c>
      <c r="C9" s="13" t="s">
        <v>266</v>
      </c>
      <c r="D9" s="13" t="s">
        <v>377</v>
      </c>
      <c r="E9" s="13" t="s">
        <v>145</v>
      </c>
      <c r="F9" s="13">
        <v>400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7.6">
      <c r="A10" s="13" t="s">
        <v>241</v>
      </c>
      <c r="B10" s="13" t="s">
        <v>19</v>
      </c>
      <c r="C10" s="13" t="s">
        <v>266</v>
      </c>
      <c r="D10" s="13" t="s">
        <v>378</v>
      </c>
      <c r="E10" s="13" t="s">
        <v>145</v>
      </c>
      <c r="F10" s="13">
        <v>400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1.4">
      <c r="A11" s="13" t="s">
        <v>247</v>
      </c>
      <c r="B11" s="13" t="s">
        <v>19</v>
      </c>
      <c r="C11" s="13" t="s">
        <v>328</v>
      </c>
      <c r="D11" s="13" t="s">
        <v>379</v>
      </c>
      <c r="E11" s="13" t="s">
        <v>145</v>
      </c>
      <c r="F11" s="13">
        <v>600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1.4">
      <c r="A12" s="13" t="s">
        <v>380</v>
      </c>
      <c r="B12" s="13" t="s">
        <v>19</v>
      </c>
      <c r="C12" s="13" t="s">
        <v>328</v>
      </c>
      <c r="D12" s="13" t="s">
        <v>381</v>
      </c>
      <c r="E12" s="13" t="s">
        <v>145</v>
      </c>
      <c r="F12" s="13">
        <v>600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7.6">
      <c r="A13" s="13" t="s">
        <v>315</v>
      </c>
      <c r="B13" s="13" t="s">
        <v>29</v>
      </c>
      <c r="C13" s="13" t="s">
        <v>328</v>
      </c>
      <c r="D13" s="13" t="s">
        <v>382</v>
      </c>
      <c r="E13" s="13" t="s">
        <v>145</v>
      </c>
      <c r="F13" s="13">
        <v>700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1.4">
      <c r="A14" s="13" t="s">
        <v>383</v>
      </c>
      <c r="B14" s="13" t="s">
        <v>24</v>
      </c>
      <c r="C14" s="13" t="s">
        <v>299</v>
      </c>
      <c r="D14" s="13" t="s">
        <v>384</v>
      </c>
      <c r="E14" s="13" t="s">
        <v>145</v>
      </c>
      <c r="F14" s="13">
        <v>700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7.6">
      <c r="A15" s="13" t="s">
        <v>276</v>
      </c>
      <c r="B15" s="13" t="s">
        <v>24</v>
      </c>
      <c r="C15" s="13" t="s">
        <v>299</v>
      </c>
      <c r="D15" s="13" t="s">
        <v>385</v>
      </c>
      <c r="E15" s="13" t="s">
        <v>145</v>
      </c>
      <c r="F15" s="13">
        <v>600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1.4">
      <c r="A16" s="13" t="s">
        <v>386</v>
      </c>
      <c r="B16" s="13" t="s">
        <v>24</v>
      </c>
      <c r="C16" s="13" t="s">
        <v>299</v>
      </c>
      <c r="D16" s="13" t="s">
        <v>387</v>
      </c>
      <c r="E16" s="13" t="s">
        <v>145</v>
      </c>
      <c r="F16" s="13">
        <v>700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1.4">
      <c r="A17" s="13" t="s">
        <v>337</v>
      </c>
      <c r="B17" s="13" t="s">
        <v>19</v>
      </c>
      <c r="C17" s="13" t="s">
        <v>358</v>
      </c>
      <c r="D17" s="13" t="s">
        <v>388</v>
      </c>
      <c r="E17" s="13" t="s">
        <v>145</v>
      </c>
      <c r="F17" s="13">
        <v>600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41.4">
      <c r="A18" s="13" t="s">
        <v>389</v>
      </c>
      <c r="B18" s="13" t="s">
        <v>34</v>
      </c>
      <c r="C18" s="13" t="s">
        <v>358</v>
      </c>
      <c r="D18" s="13" t="s">
        <v>390</v>
      </c>
      <c r="E18" s="13" t="s">
        <v>145</v>
      </c>
      <c r="F18" s="13">
        <v>700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1.4">
      <c r="A19" s="13" t="s">
        <v>29</v>
      </c>
      <c r="B19" s="13" t="s">
        <v>29</v>
      </c>
      <c r="C19" s="13" t="s">
        <v>358</v>
      </c>
      <c r="D19" s="13" t="s">
        <v>391</v>
      </c>
      <c r="E19" s="13" t="s">
        <v>145</v>
      </c>
      <c r="F19" s="13">
        <v>800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55.2">
      <c r="A20" s="13" t="s">
        <v>392</v>
      </c>
      <c r="B20" s="13" t="s">
        <v>34</v>
      </c>
      <c r="C20" s="13" t="s">
        <v>328</v>
      </c>
      <c r="D20" s="13" t="s">
        <v>393</v>
      </c>
      <c r="E20" s="13" t="s">
        <v>145</v>
      </c>
      <c r="F20" s="13">
        <v>600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41.4">
      <c r="A21" s="13" t="s">
        <v>394</v>
      </c>
      <c r="B21" s="13" t="s">
        <v>34</v>
      </c>
      <c r="C21" s="13" t="s">
        <v>266</v>
      </c>
      <c r="D21" s="13" t="s">
        <v>395</v>
      </c>
      <c r="E21" s="13" t="s">
        <v>145</v>
      </c>
      <c r="F21" s="13">
        <v>350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41.4">
      <c r="A22" s="13" t="s">
        <v>146</v>
      </c>
      <c r="B22" s="13" t="s">
        <v>34</v>
      </c>
      <c r="C22" s="13" t="s">
        <v>328</v>
      </c>
      <c r="D22" s="13" t="s">
        <v>396</v>
      </c>
      <c r="E22" s="13" t="s">
        <v>145</v>
      </c>
      <c r="F22" s="13">
        <v>650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41.4">
      <c r="A23" s="13" t="s">
        <v>149</v>
      </c>
      <c r="B23" s="13" t="s">
        <v>34</v>
      </c>
      <c r="C23" s="13" t="s">
        <v>112</v>
      </c>
      <c r="D23" s="13" t="s">
        <v>397</v>
      </c>
      <c r="E23" s="13" t="s">
        <v>145</v>
      </c>
      <c r="F23" s="13">
        <v>300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55.2">
      <c r="A24" s="13" t="s">
        <v>398</v>
      </c>
      <c r="B24" s="13" t="s">
        <v>34</v>
      </c>
      <c r="C24" s="13" t="s">
        <v>358</v>
      </c>
      <c r="D24" s="13" t="s">
        <v>399</v>
      </c>
      <c r="E24" s="13" t="s">
        <v>145</v>
      </c>
      <c r="F24" s="13">
        <v>500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41.4">
      <c r="A25" s="13" t="s">
        <v>400</v>
      </c>
      <c r="B25" s="13" t="s">
        <v>154</v>
      </c>
      <c r="C25" s="13" t="s">
        <v>401</v>
      </c>
      <c r="D25" s="13" t="s">
        <v>402</v>
      </c>
      <c r="E25" s="13" t="s">
        <v>145</v>
      </c>
      <c r="F25" s="13">
        <v>400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41.4">
      <c r="A26" s="13" t="s">
        <v>403</v>
      </c>
      <c r="B26" s="13" t="s">
        <v>154</v>
      </c>
      <c r="C26" s="13" t="s">
        <v>401</v>
      </c>
      <c r="D26" s="13" t="s">
        <v>404</v>
      </c>
      <c r="E26" s="13" t="s">
        <v>145</v>
      </c>
      <c r="F26" s="13">
        <v>450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55.2">
      <c r="A27" s="13" t="s">
        <v>405</v>
      </c>
      <c r="B27" s="13" t="s">
        <v>154</v>
      </c>
      <c r="C27" s="13" t="s">
        <v>401</v>
      </c>
      <c r="D27" s="13" t="s">
        <v>406</v>
      </c>
      <c r="E27" s="13" t="s">
        <v>145</v>
      </c>
      <c r="F27" s="13">
        <v>350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55.2">
      <c r="A28" s="13" t="s">
        <v>162</v>
      </c>
      <c r="B28" s="13" t="s">
        <v>14</v>
      </c>
      <c r="C28" s="13" t="s">
        <v>299</v>
      </c>
      <c r="D28" s="13" t="s">
        <v>407</v>
      </c>
      <c r="E28" s="13" t="s">
        <v>145</v>
      </c>
      <c r="F28" s="13">
        <v>500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69">
      <c r="A29" s="13" t="s">
        <v>166</v>
      </c>
      <c r="B29" s="13" t="s">
        <v>19</v>
      </c>
      <c r="C29" s="13" t="s">
        <v>358</v>
      </c>
      <c r="D29" s="13" t="s">
        <v>408</v>
      </c>
      <c r="E29" s="13" t="s">
        <v>145</v>
      </c>
      <c r="F29" s="13">
        <v>700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82.8">
      <c r="A30" s="13" t="s">
        <v>409</v>
      </c>
      <c r="B30" s="13" t="s">
        <v>19</v>
      </c>
      <c r="C30" s="13" t="s">
        <v>410</v>
      </c>
      <c r="D30" s="13" t="s">
        <v>411</v>
      </c>
      <c r="E30" s="13" t="s">
        <v>145</v>
      </c>
      <c r="F30" s="13">
        <v>750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69">
      <c r="A31" s="13" t="s">
        <v>412</v>
      </c>
      <c r="B31" s="13" t="s">
        <v>34</v>
      </c>
      <c r="C31" s="13" t="s">
        <v>413</v>
      </c>
      <c r="D31" s="13" t="s">
        <v>414</v>
      </c>
      <c r="E31" s="13" t="s">
        <v>159</v>
      </c>
      <c r="F31" s="13">
        <v>900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55.2">
      <c r="A32" s="13" t="s">
        <v>415</v>
      </c>
      <c r="B32" s="13" t="s">
        <v>34</v>
      </c>
      <c r="C32" s="13" t="s">
        <v>413</v>
      </c>
      <c r="D32" s="13" t="s">
        <v>416</v>
      </c>
      <c r="E32" s="13" t="s">
        <v>159</v>
      </c>
      <c r="F32" s="13">
        <v>650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conditionalFormatting sqref="E2:E19">
    <cfRule type="expression" dxfId="28" priority="1">
      <formula>E2="Done"</formula>
    </cfRule>
    <cfRule type="expression" dxfId="27" priority="2">
      <formula>E2="In Progress"</formula>
    </cfRule>
    <cfRule type="expression" dxfId="26" priority="3">
      <formula>E2="Not Started"</formula>
    </cfRule>
  </conditionalFormatting>
  <conditionalFormatting sqref="E2:E32">
    <cfRule type="expression" dxfId="25" priority="5">
      <formula>E2="Done"</formula>
    </cfRule>
    <cfRule type="expression" dxfId="24" priority="6">
      <formula>E2="In Progress"</formula>
    </cfRule>
  </conditionalFormatting>
  <conditionalFormatting sqref="F2:F19">
    <cfRule type="dataBar" priority="4">
      <dataBar>
        <cfvo type="min"/>
        <cfvo type="max"/>
        <color rgb="FFD32F2F"/>
      </dataBar>
    </cfRule>
    <cfRule type="dataBar" priority="7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{C5DDF89B-499C-9375-7587-FCB91DF0CC21}</x14:id>
        </ext>
      </extLst>
    </cfRule>
  </conditionalFormatting>
  <dataValidations count="2">
    <dataValidation type="list" sqref="E20:E27" xr:uid="{00000000-0002-0000-0200-000001000000}">
      <formula1>"Not Started,In Progress,Done,Paused"</formula1>
    </dataValidation>
    <dataValidation type="list" sqref="E2:E32" xr:uid="{00000000-0002-0000-0200-000002000000}">
      <formula1>"Not Started,In Progress,Done,Planned"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DDF89B-499C-9375-7587-FCB91DF0CC21}">
            <x14:dataBar>
              <x14:cfvo type="min"/>
              <x14:cfvo type="max"/>
              <x14:negativeFillColor auto="1"/>
              <x14:axisColor auto="1"/>
            </x14:dataBar>
          </x14:cfRule>
          <xm:sqref>F2:F19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Lists!$A$2:$A$4</xm:f>
          </x14:formula1>
          <xm:sqref>E2:E19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C23" sqref="C23"/>
    </sheetView>
  </sheetViews>
  <sheetFormatPr defaultRowHeight="13.8"/>
  <cols>
    <col min="1" max="1" width="36" customWidth="1"/>
    <col min="2" max="2" width="18" customWidth="1"/>
    <col min="3" max="3" width="32" customWidth="1"/>
    <col min="4" max="4" width="12" customWidth="1"/>
    <col min="5" max="5" width="48" customWidth="1"/>
    <col min="6" max="6" width="24" customWidth="1"/>
  </cols>
  <sheetData>
    <row r="1" spans="1:26">
      <c r="A1" s="42" t="s">
        <v>417</v>
      </c>
      <c r="B1" s="42" t="s">
        <v>139</v>
      </c>
      <c r="C1" s="42" t="s">
        <v>418</v>
      </c>
      <c r="D1" s="42" t="s">
        <v>362</v>
      </c>
      <c r="E1" s="42" t="s">
        <v>419</v>
      </c>
      <c r="F1" s="42" t="s">
        <v>138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3" t="s">
        <v>21</v>
      </c>
      <c r="B2" s="13" t="s">
        <v>420</v>
      </c>
      <c r="C2" s="13" t="s">
        <v>421</v>
      </c>
      <c r="D2" s="13" t="s">
        <v>11</v>
      </c>
      <c r="E2" s="13" t="s">
        <v>420</v>
      </c>
      <c r="F2" s="13" t="s">
        <v>95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3" t="s">
        <v>422</v>
      </c>
      <c r="B3" s="13" t="s">
        <v>113</v>
      </c>
      <c r="C3" s="13" t="s">
        <v>365</v>
      </c>
      <c r="D3" s="13" t="s">
        <v>112</v>
      </c>
      <c r="E3" s="13" t="s">
        <v>423</v>
      </c>
      <c r="F3" s="13" t="s">
        <v>424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3" t="s">
        <v>425</v>
      </c>
      <c r="B4" s="13" t="s">
        <v>113</v>
      </c>
      <c r="C4" s="13" t="s">
        <v>426</v>
      </c>
      <c r="D4" s="13" t="s">
        <v>112</v>
      </c>
      <c r="E4" s="13" t="s">
        <v>427</v>
      </c>
      <c r="F4" s="13" t="s">
        <v>424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7.6">
      <c r="A5" s="13" t="s">
        <v>428</v>
      </c>
      <c r="B5" s="13" t="s">
        <v>113</v>
      </c>
      <c r="C5" s="13" t="s">
        <v>429</v>
      </c>
      <c r="D5" s="13" t="s">
        <v>112</v>
      </c>
      <c r="E5" s="13" t="s">
        <v>430</v>
      </c>
      <c r="F5" s="13" t="s">
        <v>152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7.6">
      <c r="A6" s="13" t="s">
        <v>431</v>
      </c>
      <c r="B6" s="13" t="s">
        <v>133</v>
      </c>
      <c r="C6" s="13" t="s">
        <v>432</v>
      </c>
      <c r="D6" s="13" t="s">
        <v>433</v>
      </c>
      <c r="E6" s="13" t="s">
        <v>434</v>
      </c>
      <c r="F6" s="13" t="s">
        <v>435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3" t="s">
        <v>436</v>
      </c>
      <c r="B7" s="13" t="s">
        <v>113</v>
      </c>
      <c r="C7" s="13" t="s">
        <v>437</v>
      </c>
      <c r="D7" s="13" t="s">
        <v>433</v>
      </c>
      <c r="E7" s="13" t="s">
        <v>438</v>
      </c>
      <c r="F7" s="13" t="s">
        <v>144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3" t="s">
        <v>439</v>
      </c>
      <c r="B8" s="13" t="s">
        <v>113</v>
      </c>
      <c r="C8" s="13" t="s">
        <v>440</v>
      </c>
      <c r="D8" s="13" t="s">
        <v>230</v>
      </c>
      <c r="E8" s="13" t="s">
        <v>231</v>
      </c>
      <c r="F8" s="13" t="s">
        <v>424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3" t="s">
        <v>441</v>
      </c>
      <c r="B9" s="13" t="s">
        <v>113</v>
      </c>
      <c r="C9" s="13" t="s">
        <v>442</v>
      </c>
      <c r="D9" s="13" t="s">
        <v>120</v>
      </c>
      <c r="E9" s="13" t="s">
        <v>443</v>
      </c>
      <c r="F9" s="13" t="s">
        <v>144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3" t="s">
        <v>444</v>
      </c>
      <c r="B10" s="13" t="s">
        <v>113</v>
      </c>
      <c r="C10" s="13" t="s">
        <v>445</v>
      </c>
      <c r="D10" s="13" t="s">
        <v>120</v>
      </c>
      <c r="E10" s="13" t="s">
        <v>446</v>
      </c>
      <c r="F10" s="13" t="s">
        <v>144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3" t="s">
        <v>447</v>
      </c>
      <c r="B11" s="13" t="s">
        <v>113</v>
      </c>
      <c r="C11" s="13" t="s">
        <v>448</v>
      </c>
      <c r="D11" s="13" t="s">
        <v>120</v>
      </c>
      <c r="E11" s="13" t="s">
        <v>449</v>
      </c>
      <c r="F11" s="13" t="s">
        <v>144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3" t="s">
        <v>450</v>
      </c>
      <c r="B12" s="13" t="s">
        <v>133</v>
      </c>
      <c r="C12" s="13" t="s">
        <v>451</v>
      </c>
      <c r="D12" s="13" t="s">
        <v>132</v>
      </c>
      <c r="E12" s="13" t="s">
        <v>452</v>
      </c>
      <c r="F12" s="13" t="s">
        <v>152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3" t="s">
        <v>453</v>
      </c>
      <c r="B13" s="13" t="s">
        <v>133</v>
      </c>
      <c r="C13" s="13" t="s">
        <v>454</v>
      </c>
      <c r="D13" s="13" t="s">
        <v>168</v>
      </c>
      <c r="E13" s="13" t="s">
        <v>455</v>
      </c>
      <c r="F13" s="13" t="s">
        <v>435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7.6">
      <c r="A14" s="13" t="s">
        <v>456</v>
      </c>
      <c r="B14" s="13" t="s">
        <v>457</v>
      </c>
      <c r="C14" s="13" t="s">
        <v>458</v>
      </c>
      <c r="D14" s="13" t="s">
        <v>168</v>
      </c>
      <c r="E14" s="13" t="s">
        <v>459</v>
      </c>
      <c r="F14" s="13" t="s">
        <v>133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3" t="s">
        <v>460</v>
      </c>
      <c r="B15" s="13" t="s">
        <v>133</v>
      </c>
      <c r="C15" s="13" t="s">
        <v>369</v>
      </c>
      <c r="D15" s="13" t="s">
        <v>461</v>
      </c>
      <c r="E15" s="13" t="s">
        <v>462</v>
      </c>
      <c r="F15" s="13" t="s">
        <v>133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3" t="s">
        <v>463</v>
      </c>
      <c r="B16" s="13" t="s">
        <v>464</v>
      </c>
      <c r="C16" s="13" t="s">
        <v>465</v>
      </c>
      <c r="D16" s="13" t="s">
        <v>461</v>
      </c>
      <c r="E16" s="13" t="s">
        <v>466</v>
      </c>
      <c r="F16" s="13" t="s">
        <v>467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3" t="s">
        <v>68</v>
      </c>
      <c r="B17" s="13" t="s">
        <v>113</v>
      </c>
      <c r="C17" s="13" t="s">
        <v>468</v>
      </c>
      <c r="D17" s="13" t="s">
        <v>469</v>
      </c>
      <c r="E17" s="13" t="s">
        <v>470</v>
      </c>
      <c r="F17" s="13" t="s">
        <v>471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3" t="s">
        <v>472</v>
      </c>
      <c r="B18" s="13" t="s">
        <v>133</v>
      </c>
      <c r="C18" s="13" t="s">
        <v>473</v>
      </c>
      <c r="D18" s="13" t="s">
        <v>168</v>
      </c>
      <c r="E18" s="13" t="s">
        <v>474</v>
      </c>
      <c r="F18" s="13" t="s">
        <v>133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3" t="s">
        <v>475</v>
      </c>
      <c r="B19" s="13" t="s">
        <v>133</v>
      </c>
      <c r="C19" s="13" t="s">
        <v>473</v>
      </c>
      <c r="D19" s="13" t="s">
        <v>168</v>
      </c>
      <c r="E19" s="13" t="s">
        <v>474</v>
      </c>
      <c r="F19" s="13" t="s">
        <v>133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7.6">
      <c r="A20" s="13" t="s">
        <v>476</v>
      </c>
      <c r="B20" s="13" t="s">
        <v>477</v>
      </c>
      <c r="C20" s="13" t="s">
        <v>478</v>
      </c>
      <c r="D20" s="13" t="s">
        <v>479</v>
      </c>
      <c r="E20" s="13" t="s">
        <v>480</v>
      </c>
      <c r="F20" s="13" t="s">
        <v>133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62"/>
      <c r="B21" s="63"/>
      <c r="C21" s="63"/>
      <c r="D21" s="63"/>
      <c r="E21" s="63"/>
      <c r="F21" s="6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50" t="s">
        <v>481</v>
      </c>
      <c r="B22" s="50" t="s">
        <v>482</v>
      </c>
      <c r="C22" s="50" t="s">
        <v>483</v>
      </c>
      <c r="D22" s="50"/>
      <c r="E22" s="50" t="s">
        <v>144</v>
      </c>
      <c r="F22" s="50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51" t="s">
        <v>484</v>
      </c>
      <c r="B23" s="51" t="s">
        <v>485</v>
      </c>
      <c r="C23" s="51" t="s">
        <v>486</v>
      </c>
      <c r="D23" s="51"/>
      <c r="E23" s="51"/>
      <c r="F23" s="5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mergeCells count="1">
    <mergeCell ref="A21:F21"/>
  </mergeCells>
  <conditionalFormatting sqref="B2:B10">
    <cfRule type="expression" dxfId="23" priority="1">
      <formula>B2="Completed"</formula>
    </cfRule>
    <cfRule type="expression" dxfId="22" priority="2">
      <formula>B2="De-prioritised"</formula>
    </cfRule>
  </conditionalFormatting>
  <conditionalFormatting sqref="B2:B21">
    <cfRule type="expression" dxfId="21" priority="3">
      <formula>B2="Done"</formula>
    </cfRule>
    <cfRule type="expression" dxfId="20" priority="4">
      <formula>B2="In Progress"</formula>
    </cfRule>
  </conditionalFormatting>
  <dataValidations count="3">
    <dataValidation type="list" sqref="B2:B9" xr:uid="{00000000-0002-0000-0300-000000000000}">
      <formula1>"Completed,Target,In Progress,Deferred"</formula1>
    </dataValidation>
    <dataValidation type="list" sqref="B2:B10" xr:uid="{00000000-0002-0000-0300-000001000000}">
      <formula1>"Completed,Target,Optional,De-prioritised,In Progress"</formula1>
    </dataValidation>
    <dataValidation type="list" sqref="B2:B21" xr:uid="{00000000-0002-0000-0300-000002000000}">
      <formula1>"Completed,Target,Optional,Optional / Strategic,Target / Future,De-prioritised"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8"/>
  <cols>
    <col min="1" max="1" width="8" customWidth="1"/>
    <col min="2" max="2" width="28" customWidth="1"/>
    <col min="3" max="3" width="15" customWidth="1"/>
    <col min="4" max="4" width="55" customWidth="1"/>
    <col min="5" max="5" width="12" customWidth="1"/>
    <col min="6" max="6" width="10" customWidth="1"/>
    <col min="7" max="7" width="15" customWidth="1"/>
  </cols>
  <sheetData>
    <row r="1" spans="1:26">
      <c r="A1" s="13" t="s">
        <v>487</v>
      </c>
      <c r="B1" s="12" t="s">
        <v>488</v>
      </c>
      <c r="C1" s="12" t="s">
        <v>136</v>
      </c>
      <c r="D1" s="12" t="s">
        <v>489</v>
      </c>
      <c r="E1" s="12" t="s">
        <v>113</v>
      </c>
      <c r="F1" s="12" t="s">
        <v>179</v>
      </c>
      <c r="G1" s="12" t="s">
        <v>139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 t="s">
        <v>490</v>
      </c>
      <c r="B2" s="12" t="s">
        <v>491</v>
      </c>
      <c r="C2" s="12" t="s">
        <v>14</v>
      </c>
      <c r="D2" s="13" t="s">
        <v>492</v>
      </c>
      <c r="E2" s="12" t="s">
        <v>183</v>
      </c>
      <c r="F2" s="15">
        <v>100</v>
      </c>
      <c r="G2" s="12" t="s">
        <v>145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 t="s">
        <v>493</v>
      </c>
      <c r="B3" s="12" t="s">
        <v>494</v>
      </c>
      <c r="C3" s="12" t="s">
        <v>14</v>
      </c>
      <c r="D3" s="13" t="s">
        <v>495</v>
      </c>
      <c r="E3" s="12" t="s">
        <v>183</v>
      </c>
      <c r="F3" s="15">
        <v>150</v>
      </c>
      <c r="G3" s="12" t="s">
        <v>145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 t="s">
        <v>496</v>
      </c>
      <c r="B4" s="12" t="s">
        <v>497</v>
      </c>
      <c r="C4" s="12" t="s">
        <v>19</v>
      </c>
      <c r="D4" s="13" t="s">
        <v>498</v>
      </c>
      <c r="E4" s="12" t="s">
        <v>183</v>
      </c>
      <c r="F4" s="15">
        <v>150</v>
      </c>
      <c r="G4" s="12" t="s">
        <v>145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 t="s">
        <v>499</v>
      </c>
      <c r="B5" s="12" t="s">
        <v>500</v>
      </c>
      <c r="C5" s="12" t="s">
        <v>14</v>
      </c>
      <c r="D5" s="13" t="s">
        <v>501</v>
      </c>
      <c r="E5" s="12" t="s">
        <v>183</v>
      </c>
      <c r="F5" s="15">
        <v>200</v>
      </c>
      <c r="G5" s="12" t="s">
        <v>145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 t="s">
        <v>502</v>
      </c>
      <c r="B6" s="12" t="s">
        <v>503</v>
      </c>
      <c r="C6" s="12" t="s">
        <v>19</v>
      </c>
      <c r="D6" s="13" t="s">
        <v>504</v>
      </c>
      <c r="E6" s="12" t="s">
        <v>231</v>
      </c>
      <c r="F6" s="15">
        <v>300</v>
      </c>
      <c r="G6" s="12" t="s">
        <v>145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 t="s">
        <v>505</v>
      </c>
      <c r="B7" s="12" t="s">
        <v>506</v>
      </c>
      <c r="C7" s="12" t="s">
        <v>19</v>
      </c>
      <c r="D7" s="13" t="s">
        <v>507</v>
      </c>
      <c r="E7" s="12" t="s">
        <v>231</v>
      </c>
      <c r="F7" s="15">
        <v>350</v>
      </c>
      <c r="G7" s="12" t="s">
        <v>145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 t="s">
        <v>508</v>
      </c>
      <c r="B8" s="12" t="s">
        <v>509</v>
      </c>
      <c r="C8" s="12" t="s">
        <v>24</v>
      </c>
      <c r="D8" s="13" t="s">
        <v>510</v>
      </c>
      <c r="E8" s="12" t="s">
        <v>267</v>
      </c>
      <c r="F8" s="15">
        <v>400</v>
      </c>
      <c r="G8" s="12" t="s">
        <v>145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 t="s">
        <v>511</v>
      </c>
      <c r="B9" s="12" t="s">
        <v>512</v>
      </c>
      <c r="C9" s="12" t="s">
        <v>29</v>
      </c>
      <c r="D9" s="13" t="s">
        <v>513</v>
      </c>
      <c r="E9" s="12" t="s">
        <v>267</v>
      </c>
      <c r="F9" s="15">
        <v>400</v>
      </c>
      <c r="G9" s="12" t="s">
        <v>145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 t="s">
        <v>514</v>
      </c>
      <c r="B10" s="12" t="s">
        <v>515</v>
      </c>
      <c r="C10" s="12" t="s">
        <v>34</v>
      </c>
      <c r="D10" s="13" t="s">
        <v>516</v>
      </c>
      <c r="E10" s="12" t="s">
        <v>300</v>
      </c>
      <c r="F10" s="15">
        <v>500</v>
      </c>
      <c r="G10" s="12" t="s">
        <v>145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 t="s">
        <v>517</v>
      </c>
      <c r="B11" s="12" t="s">
        <v>518</v>
      </c>
      <c r="C11" s="12" t="s">
        <v>349</v>
      </c>
      <c r="D11" s="13" t="s">
        <v>519</v>
      </c>
      <c r="E11" s="12" t="s">
        <v>329</v>
      </c>
      <c r="F11" s="15">
        <v>800</v>
      </c>
      <c r="G11" s="12" t="s">
        <v>145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 t="s">
        <v>520</v>
      </c>
      <c r="B12" s="12" t="s">
        <v>521</v>
      </c>
      <c r="C12" s="12" t="s">
        <v>349</v>
      </c>
      <c r="D12" s="13" t="s">
        <v>522</v>
      </c>
      <c r="E12" s="12" t="s">
        <v>329</v>
      </c>
      <c r="F12" s="15">
        <v>1000</v>
      </c>
      <c r="G12" s="12" t="s">
        <v>145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 t="s">
        <v>523</v>
      </c>
      <c r="B13" s="12" t="s">
        <v>524</v>
      </c>
      <c r="C13" s="12" t="s">
        <v>24</v>
      </c>
      <c r="D13" s="12" t="s">
        <v>525</v>
      </c>
      <c r="E13" s="12" t="s">
        <v>183</v>
      </c>
      <c r="F13" s="12">
        <v>250</v>
      </c>
      <c r="G13" s="12" t="s">
        <v>145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 t="s">
        <v>526</v>
      </c>
      <c r="B14" s="12" t="s">
        <v>527</v>
      </c>
      <c r="C14" s="12" t="s">
        <v>34</v>
      </c>
      <c r="D14" s="12" t="s">
        <v>528</v>
      </c>
      <c r="E14" s="12" t="s">
        <v>183</v>
      </c>
      <c r="F14" s="12">
        <v>150</v>
      </c>
      <c r="G14" s="12" t="s">
        <v>145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 t="s">
        <v>529</v>
      </c>
      <c r="B15" s="12" t="s">
        <v>530</v>
      </c>
      <c r="C15" s="12" t="s">
        <v>19</v>
      </c>
      <c r="D15" s="12" t="s">
        <v>531</v>
      </c>
      <c r="E15" s="12" t="s">
        <v>183</v>
      </c>
      <c r="F15" s="12">
        <v>250</v>
      </c>
      <c r="G15" s="12" t="s">
        <v>145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 t="s">
        <v>532</v>
      </c>
      <c r="B16" s="12" t="s">
        <v>533</v>
      </c>
      <c r="C16" s="12" t="s">
        <v>24</v>
      </c>
      <c r="D16" s="12" t="s">
        <v>534</v>
      </c>
      <c r="E16" s="12" t="s">
        <v>183</v>
      </c>
      <c r="F16" s="12">
        <v>300</v>
      </c>
      <c r="G16" s="12" t="s">
        <v>145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 t="s">
        <v>535</v>
      </c>
      <c r="B17" s="12" t="s">
        <v>536</v>
      </c>
      <c r="C17" s="12" t="s">
        <v>29</v>
      </c>
      <c r="D17" s="12" t="s">
        <v>537</v>
      </c>
      <c r="E17" s="12" t="s">
        <v>183</v>
      </c>
      <c r="F17" s="12">
        <v>300</v>
      </c>
      <c r="G17" s="12" t="s">
        <v>145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 t="s">
        <v>538</v>
      </c>
      <c r="B18" s="12" t="s">
        <v>539</v>
      </c>
      <c r="C18" s="12" t="s">
        <v>540</v>
      </c>
      <c r="D18" s="12" t="s">
        <v>541</v>
      </c>
      <c r="E18" s="12" t="s">
        <v>183</v>
      </c>
      <c r="F18" s="12">
        <v>100</v>
      </c>
      <c r="G18" s="12" t="s">
        <v>145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conditionalFormatting sqref="G2:G12">
    <cfRule type="expression" dxfId="19" priority="1">
      <formula>G2="Done"</formula>
    </cfRule>
    <cfRule type="expression" dxfId="18" priority="2">
      <formula>G2="In Progress"</formula>
    </cfRule>
    <cfRule type="expression" dxfId="17" priority="3">
      <formula>G2="Not Started"</formula>
    </cfRule>
  </conditionalFormatting>
  <dataValidations count="1">
    <dataValidation type="list" sqref="G13:G18" xr:uid="{00000000-0002-0000-0400-000001000000}">
      <formula1>"Not Started,In Progress,Done,Blocked"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Lists!$A$2:$A$4</xm:f>
          </x14:formula1>
          <xm:sqref>G2:G12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3.8"/>
  <cols>
    <col min="1" max="1" width="8" customWidth="1"/>
    <col min="2" max="2" width="14" customWidth="1"/>
    <col min="3" max="3" width="35" customWidth="1"/>
    <col min="4" max="8" width="22" customWidth="1"/>
    <col min="9" max="10" width="12" customWidth="1"/>
  </cols>
  <sheetData>
    <row r="1" spans="1:26">
      <c r="A1" s="13" t="s">
        <v>542</v>
      </c>
      <c r="B1" s="12" t="s">
        <v>543</v>
      </c>
      <c r="C1" s="12" t="s">
        <v>544</v>
      </c>
      <c r="D1" s="12" t="s">
        <v>417</v>
      </c>
      <c r="E1" s="12" t="s">
        <v>545</v>
      </c>
      <c r="F1" s="12" t="s">
        <v>546</v>
      </c>
      <c r="G1" s="12" t="s">
        <v>547</v>
      </c>
      <c r="H1" s="12" t="s">
        <v>548</v>
      </c>
      <c r="I1" s="12" t="s">
        <v>549</v>
      </c>
      <c r="J1" s="12" t="s">
        <v>139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>
        <v>1</v>
      </c>
      <c r="B2" s="12"/>
      <c r="C2" s="13"/>
      <c r="D2" s="13"/>
      <c r="E2" s="13"/>
      <c r="F2" s="13"/>
      <c r="G2" s="13"/>
      <c r="H2" s="13"/>
      <c r="I2" s="12">
        <v>0</v>
      </c>
      <c r="J2" s="12" t="s">
        <v>145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>
        <v>2</v>
      </c>
      <c r="B3" s="12"/>
      <c r="C3" s="13"/>
      <c r="D3" s="13"/>
      <c r="E3" s="13"/>
      <c r="F3" s="13"/>
      <c r="G3" s="13"/>
      <c r="H3" s="13"/>
      <c r="I3" s="12">
        <v>0</v>
      </c>
      <c r="J3" s="12" t="s">
        <v>145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>
        <v>3</v>
      </c>
      <c r="B4" s="12"/>
      <c r="C4" s="13"/>
      <c r="D4" s="13"/>
      <c r="E4" s="13"/>
      <c r="F4" s="13"/>
      <c r="G4" s="13"/>
      <c r="H4" s="13"/>
      <c r="I4" s="12">
        <v>0</v>
      </c>
      <c r="J4" s="12" t="s">
        <v>145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>
        <v>4</v>
      </c>
      <c r="B5" s="12"/>
      <c r="C5" s="13"/>
      <c r="D5" s="13"/>
      <c r="E5" s="13"/>
      <c r="F5" s="13"/>
      <c r="G5" s="13"/>
      <c r="H5" s="13"/>
      <c r="I5" s="12">
        <v>0</v>
      </c>
      <c r="J5" s="12" t="s">
        <v>145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>
        <v>5</v>
      </c>
      <c r="B6" s="12"/>
      <c r="C6" s="13"/>
      <c r="D6" s="13"/>
      <c r="E6" s="13"/>
      <c r="F6" s="13"/>
      <c r="G6" s="13"/>
      <c r="H6" s="13"/>
      <c r="I6" s="12">
        <v>0</v>
      </c>
      <c r="J6" s="12" t="s">
        <v>145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>
        <v>6</v>
      </c>
      <c r="B7" s="12"/>
      <c r="C7" s="13"/>
      <c r="D7" s="13"/>
      <c r="E7" s="13"/>
      <c r="F7" s="13"/>
      <c r="G7" s="13"/>
      <c r="H7" s="13"/>
      <c r="I7" s="12">
        <v>0</v>
      </c>
      <c r="J7" s="12" t="s">
        <v>145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>
        <v>7</v>
      </c>
      <c r="B8" s="12"/>
      <c r="C8" s="13"/>
      <c r="D8" s="13"/>
      <c r="E8" s="13"/>
      <c r="F8" s="13"/>
      <c r="G8" s="13"/>
      <c r="H8" s="13"/>
      <c r="I8" s="12">
        <v>0</v>
      </c>
      <c r="J8" s="12" t="s">
        <v>145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>
        <v>8</v>
      </c>
      <c r="B9" s="12"/>
      <c r="C9" s="13"/>
      <c r="D9" s="13"/>
      <c r="E9" s="13"/>
      <c r="F9" s="13"/>
      <c r="G9" s="13"/>
      <c r="H9" s="13"/>
      <c r="I9" s="12">
        <v>0</v>
      </c>
      <c r="J9" s="12" t="s">
        <v>145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>
        <v>9</v>
      </c>
      <c r="B10" s="12"/>
      <c r="C10" s="13"/>
      <c r="D10" s="13"/>
      <c r="E10" s="13"/>
      <c r="F10" s="13"/>
      <c r="G10" s="13"/>
      <c r="H10" s="13"/>
      <c r="I10" s="12">
        <v>0</v>
      </c>
      <c r="J10" s="12" t="s">
        <v>145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>
        <v>10</v>
      </c>
      <c r="B11" s="12"/>
      <c r="C11" s="13"/>
      <c r="D11" s="13"/>
      <c r="E11" s="13"/>
      <c r="F11" s="13"/>
      <c r="G11" s="13"/>
      <c r="H11" s="13"/>
      <c r="I11" s="12">
        <v>0</v>
      </c>
      <c r="J11" s="12" t="s">
        <v>145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>
        <v>11</v>
      </c>
      <c r="B12" s="12"/>
      <c r="C12" s="13"/>
      <c r="D12" s="13"/>
      <c r="E12" s="13"/>
      <c r="F12" s="13"/>
      <c r="G12" s="13"/>
      <c r="H12" s="13"/>
      <c r="I12" s="12">
        <v>0</v>
      </c>
      <c r="J12" s="12" t="s">
        <v>145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>
        <v>12</v>
      </c>
      <c r="B13" s="12"/>
      <c r="C13" s="13"/>
      <c r="D13" s="13"/>
      <c r="E13" s="13"/>
      <c r="F13" s="13"/>
      <c r="G13" s="13"/>
      <c r="H13" s="13"/>
      <c r="I13" s="12">
        <v>0</v>
      </c>
      <c r="J13" s="12" t="s">
        <v>145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>
        <v>13</v>
      </c>
      <c r="B14" s="12"/>
      <c r="C14" s="13"/>
      <c r="D14" s="13"/>
      <c r="E14" s="13"/>
      <c r="F14" s="13"/>
      <c r="G14" s="13"/>
      <c r="H14" s="13"/>
      <c r="I14" s="12">
        <v>0</v>
      </c>
      <c r="J14" s="12" t="s">
        <v>145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>
        <v>14</v>
      </c>
      <c r="B15" s="12"/>
      <c r="C15" s="13"/>
      <c r="D15" s="13"/>
      <c r="E15" s="13"/>
      <c r="F15" s="13"/>
      <c r="G15" s="13"/>
      <c r="H15" s="13"/>
      <c r="I15" s="12">
        <v>0</v>
      </c>
      <c r="J15" s="12" t="s">
        <v>145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>
        <v>15</v>
      </c>
      <c r="B16" s="12"/>
      <c r="C16" s="13"/>
      <c r="D16" s="13"/>
      <c r="E16" s="13"/>
      <c r="F16" s="13"/>
      <c r="G16" s="13"/>
      <c r="H16" s="13"/>
      <c r="I16" s="12">
        <v>0</v>
      </c>
      <c r="J16" s="12" t="s">
        <v>145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>
        <v>16</v>
      </c>
      <c r="B17" s="12"/>
      <c r="C17" s="13"/>
      <c r="D17" s="13"/>
      <c r="E17" s="13"/>
      <c r="F17" s="13"/>
      <c r="G17" s="13"/>
      <c r="H17" s="13"/>
      <c r="I17" s="12">
        <v>0</v>
      </c>
      <c r="J17" s="12" t="s">
        <v>145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>
        <v>17</v>
      </c>
      <c r="B18" s="12"/>
      <c r="C18" s="13"/>
      <c r="D18" s="13"/>
      <c r="E18" s="13"/>
      <c r="F18" s="13"/>
      <c r="G18" s="13"/>
      <c r="H18" s="13"/>
      <c r="I18" s="12">
        <v>0</v>
      </c>
      <c r="J18" s="12" t="s">
        <v>145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>
        <v>18</v>
      </c>
      <c r="B19" s="12"/>
      <c r="C19" s="13"/>
      <c r="D19" s="13"/>
      <c r="E19" s="13"/>
      <c r="F19" s="13"/>
      <c r="G19" s="13"/>
      <c r="H19" s="13"/>
      <c r="I19" s="12">
        <v>0</v>
      </c>
      <c r="J19" s="12" t="s">
        <v>145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>
        <v>19</v>
      </c>
      <c r="B20" s="12"/>
      <c r="C20" s="13"/>
      <c r="D20" s="13"/>
      <c r="E20" s="13"/>
      <c r="F20" s="13"/>
      <c r="G20" s="13"/>
      <c r="H20" s="13"/>
      <c r="I20" s="12">
        <v>0</v>
      </c>
      <c r="J20" s="12" t="s">
        <v>145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>
        <v>20</v>
      </c>
      <c r="B21" s="12"/>
      <c r="C21" s="13"/>
      <c r="D21" s="13"/>
      <c r="E21" s="13"/>
      <c r="F21" s="13"/>
      <c r="G21" s="13"/>
      <c r="H21" s="13"/>
      <c r="I21" s="12">
        <v>0</v>
      </c>
      <c r="J21" s="12" t="s">
        <v>145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>
        <v>21</v>
      </c>
      <c r="B22" s="12"/>
      <c r="C22" s="13"/>
      <c r="D22" s="13"/>
      <c r="E22" s="13"/>
      <c r="F22" s="13"/>
      <c r="G22" s="13"/>
      <c r="H22" s="13"/>
      <c r="I22" s="12">
        <v>0</v>
      </c>
      <c r="J22" s="12" t="s">
        <v>145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>
        <v>22</v>
      </c>
      <c r="B23" s="12"/>
      <c r="C23" s="13"/>
      <c r="D23" s="13"/>
      <c r="E23" s="13"/>
      <c r="F23" s="13"/>
      <c r="G23" s="13"/>
      <c r="H23" s="13"/>
      <c r="I23" s="12">
        <v>0</v>
      </c>
      <c r="J23" s="12" t="s">
        <v>145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>
        <v>23</v>
      </c>
      <c r="B24" s="12"/>
      <c r="C24" s="13"/>
      <c r="D24" s="13"/>
      <c r="E24" s="13"/>
      <c r="F24" s="13"/>
      <c r="G24" s="13"/>
      <c r="H24" s="13"/>
      <c r="I24" s="12">
        <v>0</v>
      </c>
      <c r="J24" s="12" t="s">
        <v>145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>
        <v>24</v>
      </c>
      <c r="B25" s="12"/>
      <c r="C25" s="13"/>
      <c r="D25" s="13"/>
      <c r="E25" s="13"/>
      <c r="F25" s="13"/>
      <c r="G25" s="13"/>
      <c r="H25" s="13"/>
      <c r="I25" s="12">
        <v>0</v>
      </c>
      <c r="J25" s="12" t="s">
        <v>145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>
        <v>25</v>
      </c>
      <c r="B26" s="12"/>
      <c r="C26" s="13"/>
      <c r="D26" s="13"/>
      <c r="E26" s="13"/>
      <c r="F26" s="13"/>
      <c r="G26" s="13"/>
      <c r="H26" s="13"/>
      <c r="I26" s="12">
        <v>0</v>
      </c>
      <c r="J26" s="12" t="s">
        <v>145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>
        <v>26</v>
      </c>
      <c r="B27" s="12"/>
      <c r="C27" s="13"/>
      <c r="D27" s="13"/>
      <c r="E27" s="13"/>
      <c r="F27" s="13"/>
      <c r="G27" s="13"/>
      <c r="H27" s="13"/>
      <c r="I27" s="12">
        <v>0</v>
      </c>
      <c r="J27" s="12" t="s">
        <v>145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>
        <v>27</v>
      </c>
      <c r="B28" s="12"/>
      <c r="C28" s="13"/>
      <c r="D28" s="13"/>
      <c r="E28" s="13"/>
      <c r="F28" s="13"/>
      <c r="G28" s="13"/>
      <c r="H28" s="13"/>
      <c r="I28" s="12">
        <v>0</v>
      </c>
      <c r="J28" s="12" t="s">
        <v>145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>
        <v>28</v>
      </c>
      <c r="B29" s="12"/>
      <c r="C29" s="13"/>
      <c r="D29" s="13"/>
      <c r="E29" s="13"/>
      <c r="F29" s="13"/>
      <c r="G29" s="13"/>
      <c r="H29" s="13"/>
      <c r="I29" s="12">
        <v>0</v>
      </c>
      <c r="J29" s="12" t="s">
        <v>145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>
        <v>29</v>
      </c>
      <c r="B30" s="12"/>
      <c r="C30" s="13"/>
      <c r="D30" s="13"/>
      <c r="E30" s="13"/>
      <c r="F30" s="13"/>
      <c r="G30" s="13"/>
      <c r="H30" s="13"/>
      <c r="I30" s="12">
        <v>0</v>
      </c>
      <c r="J30" s="12" t="s">
        <v>145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>
        <v>30</v>
      </c>
      <c r="B31" s="12"/>
      <c r="C31" s="13"/>
      <c r="D31" s="13"/>
      <c r="E31" s="13"/>
      <c r="F31" s="13"/>
      <c r="G31" s="13"/>
      <c r="H31" s="13"/>
      <c r="I31" s="12">
        <v>0</v>
      </c>
      <c r="J31" s="12" t="s">
        <v>145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>
        <v>31</v>
      </c>
      <c r="B32" s="12"/>
      <c r="C32" s="13"/>
      <c r="D32" s="13"/>
      <c r="E32" s="13"/>
      <c r="F32" s="13"/>
      <c r="G32" s="13"/>
      <c r="H32" s="13"/>
      <c r="I32" s="12">
        <v>0</v>
      </c>
      <c r="J32" s="12" t="s">
        <v>145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>
        <v>32</v>
      </c>
      <c r="B33" s="12"/>
      <c r="C33" s="13"/>
      <c r="D33" s="13"/>
      <c r="E33" s="13"/>
      <c r="F33" s="13"/>
      <c r="G33" s="13"/>
      <c r="H33" s="13"/>
      <c r="I33" s="12">
        <v>0</v>
      </c>
      <c r="J33" s="12" t="s">
        <v>145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>
        <v>33</v>
      </c>
      <c r="B34" s="12"/>
      <c r="C34" s="13"/>
      <c r="D34" s="13"/>
      <c r="E34" s="13"/>
      <c r="F34" s="13"/>
      <c r="G34" s="13"/>
      <c r="H34" s="13"/>
      <c r="I34" s="12">
        <v>0</v>
      </c>
      <c r="J34" s="12" t="s">
        <v>145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>
        <v>34</v>
      </c>
      <c r="B35" s="12"/>
      <c r="C35" s="13"/>
      <c r="D35" s="13"/>
      <c r="E35" s="13"/>
      <c r="F35" s="13"/>
      <c r="G35" s="13"/>
      <c r="H35" s="13"/>
      <c r="I35" s="12">
        <v>0</v>
      </c>
      <c r="J35" s="12" t="s">
        <v>145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>
        <v>35</v>
      </c>
      <c r="B36" s="12"/>
      <c r="C36" s="13"/>
      <c r="D36" s="13"/>
      <c r="E36" s="13"/>
      <c r="F36" s="13"/>
      <c r="G36" s="13"/>
      <c r="H36" s="13"/>
      <c r="I36" s="12">
        <v>0</v>
      </c>
      <c r="J36" s="12" t="s">
        <v>145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>
        <v>36</v>
      </c>
      <c r="B37" s="12"/>
      <c r="C37" s="13"/>
      <c r="D37" s="13"/>
      <c r="E37" s="13"/>
      <c r="F37" s="13"/>
      <c r="G37" s="13"/>
      <c r="H37" s="13"/>
      <c r="I37" s="12">
        <v>0</v>
      </c>
      <c r="J37" s="12" t="s">
        <v>145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>
        <v>37</v>
      </c>
      <c r="B38" s="12"/>
      <c r="C38" s="13"/>
      <c r="D38" s="13"/>
      <c r="E38" s="13"/>
      <c r="F38" s="13"/>
      <c r="G38" s="13"/>
      <c r="H38" s="13"/>
      <c r="I38" s="12">
        <v>0</v>
      </c>
      <c r="J38" s="12" t="s">
        <v>145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>
        <v>38</v>
      </c>
      <c r="B39" s="12"/>
      <c r="C39" s="13"/>
      <c r="D39" s="13"/>
      <c r="E39" s="13"/>
      <c r="F39" s="13"/>
      <c r="G39" s="13"/>
      <c r="H39" s="13"/>
      <c r="I39" s="12">
        <v>0</v>
      </c>
      <c r="J39" s="12" t="s">
        <v>145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>
        <v>39</v>
      </c>
      <c r="B40" s="12"/>
      <c r="C40" s="13"/>
      <c r="D40" s="13"/>
      <c r="E40" s="13"/>
      <c r="F40" s="13"/>
      <c r="G40" s="13"/>
      <c r="H40" s="13"/>
      <c r="I40" s="12">
        <v>0</v>
      </c>
      <c r="J40" s="12" t="s">
        <v>145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>
        <v>40</v>
      </c>
      <c r="B41" s="12"/>
      <c r="C41" s="13"/>
      <c r="D41" s="13"/>
      <c r="E41" s="13"/>
      <c r="F41" s="13"/>
      <c r="G41" s="13"/>
      <c r="H41" s="13"/>
      <c r="I41" s="12">
        <v>0</v>
      </c>
      <c r="J41" s="12" t="s">
        <v>145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>
        <v>41</v>
      </c>
      <c r="B42" s="12"/>
      <c r="C42" s="13"/>
      <c r="D42" s="13"/>
      <c r="E42" s="13"/>
      <c r="F42" s="13"/>
      <c r="G42" s="13"/>
      <c r="H42" s="13"/>
      <c r="I42" s="12">
        <v>0</v>
      </c>
      <c r="J42" s="12" t="s">
        <v>145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>
        <v>42</v>
      </c>
      <c r="B43" s="12"/>
      <c r="C43" s="13"/>
      <c r="D43" s="13"/>
      <c r="E43" s="13"/>
      <c r="F43" s="13"/>
      <c r="G43" s="13"/>
      <c r="H43" s="13"/>
      <c r="I43" s="12">
        <v>0</v>
      </c>
      <c r="J43" s="12" t="s">
        <v>145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>
        <v>43</v>
      </c>
      <c r="B44" s="12"/>
      <c r="C44" s="13"/>
      <c r="D44" s="13"/>
      <c r="E44" s="13"/>
      <c r="F44" s="13"/>
      <c r="G44" s="13"/>
      <c r="H44" s="13"/>
      <c r="I44" s="12">
        <v>0</v>
      </c>
      <c r="J44" s="12" t="s">
        <v>145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>
        <v>44</v>
      </c>
      <c r="B45" s="12"/>
      <c r="C45" s="13"/>
      <c r="D45" s="13"/>
      <c r="E45" s="13"/>
      <c r="F45" s="13"/>
      <c r="G45" s="13"/>
      <c r="H45" s="13"/>
      <c r="I45" s="12">
        <v>0</v>
      </c>
      <c r="J45" s="12" t="s">
        <v>145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>
        <v>45</v>
      </c>
      <c r="B46" s="12"/>
      <c r="C46" s="13"/>
      <c r="D46" s="13"/>
      <c r="E46" s="13"/>
      <c r="F46" s="13"/>
      <c r="G46" s="13"/>
      <c r="H46" s="13"/>
      <c r="I46" s="12">
        <v>0</v>
      </c>
      <c r="J46" s="12" t="s">
        <v>145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>
        <v>46</v>
      </c>
      <c r="B47" s="12"/>
      <c r="C47" s="13"/>
      <c r="D47" s="13"/>
      <c r="E47" s="13"/>
      <c r="F47" s="13"/>
      <c r="G47" s="13"/>
      <c r="H47" s="13"/>
      <c r="I47" s="12">
        <v>0</v>
      </c>
      <c r="J47" s="12" t="s">
        <v>145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>
        <v>47</v>
      </c>
      <c r="B48" s="12"/>
      <c r="C48" s="13"/>
      <c r="D48" s="13"/>
      <c r="E48" s="13"/>
      <c r="F48" s="13"/>
      <c r="G48" s="13"/>
      <c r="H48" s="13"/>
      <c r="I48" s="12">
        <v>0</v>
      </c>
      <c r="J48" s="12" t="s">
        <v>145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>
        <v>48</v>
      </c>
      <c r="B49" s="12"/>
      <c r="C49" s="13"/>
      <c r="D49" s="13"/>
      <c r="E49" s="13"/>
      <c r="F49" s="13"/>
      <c r="G49" s="13"/>
      <c r="H49" s="13"/>
      <c r="I49" s="12">
        <v>0</v>
      </c>
      <c r="J49" s="12" t="s">
        <v>145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>
        <v>49</v>
      </c>
      <c r="B50" s="12"/>
      <c r="C50" s="13"/>
      <c r="D50" s="13"/>
      <c r="E50" s="13"/>
      <c r="F50" s="13"/>
      <c r="G50" s="13"/>
      <c r="H50" s="13"/>
      <c r="I50" s="12">
        <v>0</v>
      </c>
      <c r="J50" s="12" t="s">
        <v>145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>
        <v>50</v>
      </c>
      <c r="B51" s="12"/>
      <c r="C51" s="13"/>
      <c r="D51" s="13"/>
      <c r="E51" s="13"/>
      <c r="F51" s="13"/>
      <c r="G51" s="13"/>
      <c r="H51" s="13"/>
      <c r="I51" s="12">
        <v>0</v>
      </c>
      <c r="J51" s="12" t="s">
        <v>145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>
        <v>51</v>
      </c>
      <c r="B52" s="12"/>
      <c r="C52" s="13"/>
      <c r="D52" s="13"/>
      <c r="E52" s="13"/>
      <c r="F52" s="13"/>
      <c r="G52" s="13"/>
      <c r="H52" s="13"/>
      <c r="I52" s="12">
        <v>0</v>
      </c>
      <c r="J52" s="12" t="s">
        <v>145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>
        <v>52</v>
      </c>
      <c r="B53" s="12"/>
      <c r="C53" s="13"/>
      <c r="D53" s="13"/>
      <c r="E53" s="13"/>
      <c r="F53" s="13"/>
      <c r="G53" s="13"/>
      <c r="H53" s="13"/>
      <c r="I53" s="12">
        <v>0</v>
      </c>
      <c r="J53" s="12" t="s">
        <v>145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</sheetData>
  <conditionalFormatting sqref="J2:J53">
    <cfRule type="expression" dxfId="16" priority="1">
      <formula>J2="Done"</formula>
    </cfRule>
    <cfRule type="expression" dxfId="15" priority="2">
      <formula>J2="In Progress"</formula>
    </cfRule>
    <cfRule type="expression" dxfId="14" priority="3">
      <formula>J2="Not Started"</formula>
    </cfRule>
  </conditionalFormatting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Lists!$A$2:$A$4</xm:f>
          </x14:formula1>
          <xm:sqref>J2:J53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A4" sqref="A4"/>
    </sheetView>
  </sheetViews>
  <sheetFormatPr defaultRowHeight="13.8"/>
  <cols>
    <col min="1" max="1" width="8.3984375" bestFit="1" customWidth="1"/>
    <col min="2" max="2" width="7.296875" bestFit="1" customWidth="1"/>
    <col min="3" max="3" width="8.5" bestFit="1" customWidth="1"/>
  </cols>
  <sheetData>
    <row r="1" spans="1:3">
      <c r="A1" s="10" t="s">
        <v>139</v>
      </c>
      <c r="B1" s="10" t="s">
        <v>138</v>
      </c>
      <c r="C1" s="10" t="s">
        <v>136</v>
      </c>
    </row>
    <row r="2" spans="1:3" ht="27.6">
      <c r="A2" s="9" t="s">
        <v>145</v>
      </c>
      <c r="B2" s="9" t="s">
        <v>424</v>
      </c>
      <c r="C2" s="9" t="s">
        <v>14</v>
      </c>
    </row>
    <row r="3" spans="1:3" ht="27.6">
      <c r="A3" s="9" t="s">
        <v>153</v>
      </c>
      <c r="B3" s="9" t="s">
        <v>550</v>
      </c>
      <c r="C3" s="9" t="s">
        <v>19</v>
      </c>
    </row>
    <row r="4" spans="1:3" ht="27.6">
      <c r="A4" s="9" t="s">
        <v>95</v>
      </c>
      <c r="B4" s="9"/>
      <c r="C4" s="9" t="s">
        <v>24</v>
      </c>
    </row>
    <row r="5" spans="1:3" ht="27.6">
      <c r="A5" s="9"/>
      <c r="B5" s="9"/>
      <c r="C5" s="9" t="s">
        <v>29</v>
      </c>
    </row>
    <row r="6" spans="1:3" ht="27.6">
      <c r="A6" s="9"/>
      <c r="B6" s="9"/>
      <c r="C6" s="9" t="s">
        <v>34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7"/>
  <sheetViews>
    <sheetView topLeftCell="A46" workbookViewId="0">
      <selection sqref="A1:K1"/>
    </sheetView>
  </sheetViews>
  <sheetFormatPr defaultRowHeight="13.8"/>
  <cols>
    <col min="1" max="1" width="11" customWidth="1"/>
    <col min="2" max="2" width="10" customWidth="1"/>
    <col min="3" max="3" width="11" customWidth="1"/>
    <col min="4" max="4" width="13" customWidth="1"/>
    <col min="5" max="5" width="14" customWidth="1"/>
    <col min="6" max="6" width="12" customWidth="1"/>
    <col min="7" max="7" width="11" customWidth="1"/>
    <col min="8" max="8" width="14" customWidth="1"/>
    <col min="9" max="9" width="12" customWidth="1"/>
    <col min="10" max="10" width="9" customWidth="1"/>
    <col min="11" max="11" width="14" customWidth="1"/>
  </cols>
  <sheetData>
    <row r="1" spans="1:11" ht="21">
      <c r="A1" s="64" t="s">
        <v>551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>
      <c r="A2" s="65" t="s">
        <v>552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27.6">
      <c r="A4" s="25" t="s">
        <v>7</v>
      </c>
      <c r="B4" s="25" t="s">
        <v>6</v>
      </c>
      <c r="C4" s="25" t="s">
        <v>9</v>
      </c>
      <c r="D4" s="25" t="s">
        <v>553</v>
      </c>
      <c r="E4" s="25" t="s">
        <v>554</v>
      </c>
      <c r="F4" s="25" t="s">
        <v>555</v>
      </c>
      <c r="G4" s="25" t="s">
        <v>556</v>
      </c>
      <c r="H4" s="25" t="s">
        <v>557</v>
      </c>
      <c r="I4" s="19"/>
      <c r="J4" s="19"/>
      <c r="K4" s="19"/>
    </row>
    <row r="5" spans="1:11">
      <c r="A5" s="26">
        <f>COUNTA(A8:A54)</f>
        <v>46</v>
      </c>
      <c r="B5" s="26">
        <f>COUNTIF(K8:K54,"Done")</f>
        <v>0</v>
      </c>
      <c r="C5" s="27">
        <f>IF(B5=0,0,C5/B5)</f>
        <v>0</v>
      </c>
      <c r="D5" s="28">
        <f>SUMIF(K8:K54,"Done",J8:J54)</f>
        <v>0</v>
      </c>
      <c r="E5" s="28">
        <f>SUM(J8:J54)</f>
        <v>4725</v>
      </c>
      <c r="F5" s="26">
        <f>COUNTIF(I8:I54,"Mandatory")</f>
        <v>44</v>
      </c>
      <c r="G5" s="26">
        <f>COUNTIF(I8:I54,"Optional")</f>
        <v>2</v>
      </c>
      <c r="H5" s="26">
        <f>SUMPRODUCT((I8:I54="Optional")*(K8:K54="Done"))</f>
        <v>0</v>
      </c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27.6">
      <c r="A7" s="20" t="s">
        <v>174</v>
      </c>
      <c r="B7" s="20" t="s">
        <v>558</v>
      </c>
      <c r="C7" s="20" t="s">
        <v>136</v>
      </c>
      <c r="D7" s="20" t="s">
        <v>559</v>
      </c>
      <c r="E7" s="20" t="s">
        <v>560</v>
      </c>
      <c r="F7" s="20" t="s">
        <v>561</v>
      </c>
      <c r="G7" s="20" t="s">
        <v>562</v>
      </c>
      <c r="H7" s="20" t="s">
        <v>563</v>
      </c>
      <c r="I7" s="20" t="s">
        <v>138</v>
      </c>
      <c r="J7" s="20" t="s">
        <v>179</v>
      </c>
      <c r="K7" s="20" t="s">
        <v>139</v>
      </c>
    </row>
    <row r="8" spans="1:11" ht="69">
      <c r="A8" s="21" t="s">
        <v>182</v>
      </c>
      <c r="B8" s="21" t="s">
        <v>564</v>
      </c>
      <c r="C8" s="21" t="s">
        <v>565</v>
      </c>
      <c r="D8" s="21" t="s">
        <v>566</v>
      </c>
      <c r="E8" s="21" t="s">
        <v>567</v>
      </c>
      <c r="F8" s="21" t="s">
        <v>568</v>
      </c>
      <c r="G8" s="21" t="s">
        <v>569</v>
      </c>
      <c r="H8" s="21" t="s">
        <v>570</v>
      </c>
      <c r="I8" s="21" t="s">
        <v>571</v>
      </c>
      <c r="J8" s="21">
        <v>50</v>
      </c>
      <c r="K8" s="21" t="s">
        <v>145</v>
      </c>
    </row>
    <row r="9" spans="1:11" ht="96.6">
      <c r="A9" s="21" t="s">
        <v>182</v>
      </c>
      <c r="B9" s="21" t="s">
        <v>564</v>
      </c>
      <c r="C9" s="21" t="s">
        <v>565</v>
      </c>
      <c r="D9" s="21" t="s">
        <v>572</v>
      </c>
      <c r="E9" s="21" t="s">
        <v>573</v>
      </c>
      <c r="F9" s="21" t="s">
        <v>574</v>
      </c>
      <c r="G9" s="21" t="s">
        <v>575</v>
      </c>
      <c r="H9" s="21" t="s">
        <v>576</v>
      </c>
      <c r="I9" s="21" t="s">
        <v>571</v>
      </c>
      <c r="J9" s="21">
        <v>50</v>
      </c>
      <c r="K9" s="21" t="s">
        <v>145</v>
      </c>
    </row>
    <row r="10" spans="1:11" ht="96.6">
      <c r="A10" s="21" t="s">
        <v>182</v>
      </c>
      <c r="B10" s="21" t="s">
        <v>564</v>
      </c>
      <c r="C10" s="21" t="s">
        <v>565</v>
      </c>
      <c r="D10" s="21" t="s">
        <v>577</v>
      </c>
      <c r="E10" s="21" t="s">
        <v>578</v>
      </c>
      <c r="F10" s="21" t="s">
        <v>579</v>
      </c>
      <c r="G10" s="21" t="s">
        <v>580</v>
      </c>
      <c r="H10" s="21" t="s">
        <v>581</v>
      </c>
      <c r="I10" s="21" t="s">
        <v>571</v>
      </c>
      <c r="J10" s="21">
        <v>50</v>
      </c>
      <c r="K10" s="21" t="s">
        <v>145</v>
      </c>
    </row>
    <row r="11" spans="1:11" ht="82.8">
      <c r="A11" s="21" t="s">
        <v>182</v>
      </c>
      <c r="B11" s="21" t="s">
        <v>564</v>
      </c>
      <c r="C11" s="21" t="s">
        <v>565</v>
      </c>
      <c r="D11" s="21" t="s">
        <v>582</v>
      </c>
      <c r="E11" s="21" t="s">
        <v>583</v>
      </c>
      <c r="F11" s="21" t="s">
        <v>584</v>
      </c>
      <c r="G11" s="21" t="s">
        <v>585</v>
      </c>
      <c r="H11" s="21" t="s">
        <v>586</v>
      </c>
      <c r="I11" s="21" t="s">
        <v>571</v>
      </c>
      <c r="J11" s="21">
        <v>50</v>
      </c>
      <c r="K11" s="21" t="s">
        <v>145</v>
      </c>
    </row>
    <row r="12" spans="1:11" ht="69">
      <c r="A12" s="21" t="s">
        <v>187</v>
      </c>
      <c r="B12" s="21" t="s">
        <v>587</v>
      </c>
      <c r="C12" s="21" t="s">
        <v>565</v>
      </c>
      <c r="D12" s="21" t="s">
        <v>588</v>
      </c>
      <c r="E12" s="21" t="s">
        <v>589</v>
      </c>
      <c r="F12" s="21" t="s">
        <v>590</v>
      </c>
      <c r="G12" s="21" t="s">
        <v>591</v>
      </c>
      <c r="H12" s="21" t="s">
        <v>592</v>
      </c>
      <c r="I12" s="21" t="s">
        <v>571</v>
      </c>
      <c r="J12" s="21">
        <v>75</v>
      </c>
      <c r="K12" s="21" t="s">
        <v>145</v>
      </c>
    </row>
    <row r="13" spans="1:11" ht="82.8">
      <c r="A13" s="21" t="s">
        <v>187</v>
      </c>
      <c r="B13" s="21" t="s">
        <v>587</v>
      </c>
      <c r="C13" s="21" t="s">
        <v>593</v>
      </c>
      <c r="D13" s="21" t="s">
        <v>594</v>
      </c>
      <c r="E13" s="21" t="s">
        <v>595</v>
      </c>
      <c r="F13" s="21" t="s">
        <v>596</v>
      </c>
      <c r="G13" s="21" t="s">
        <v>597</v>
      </c>
      <c r="H13" s="21" t="s">
        <v>598</v>
      </c>
      <c r="I13" s="21" t="s">
        <v>571</v>
      </c>
      <c r="J13" s="21">
        <v>75</v>
      </c>
      <c r="K13" s="21" t="s">
        <v>145</v>
      </c>
    </row>
    <row r="14" spans="1:11" ht="69">
      <c r="A14" s="21" t="s">
        <v>187</v>
      </c>
      <c r="B14" s="21" t="s">
        <v>587</v>
      </c>
      <c r="C14" s="21" t="s">
        <v>593</v>
      </c>
      <c r="D14" s="21" t="s">
        <v>599</v>
      </c>
      <c r="E14" s="21" t="s">
        <v>600</v>
      </c>
      <c r="F14" s="21" t="s">
        <v>601</v>
      </c>
      <c r="G14" s="21" t="s">
        <v>602</v>
      </c>
      <c r="H14" s="21" t="s">
        <v>603</v>
      </c>
      <c r="I14" s="21" t="s">
        <v>571</v>
      </c>
      <c r="J14" s="21">
        <v>75</v>
      </c>
      <c r="K14" s="21" t="s">
        <v>145</v>
      </c>
    </row>
    <row r="15" spans="1:11" ht="69">
      <c r="A15" s="21" t="s">
        <v>187</v>
      </c>
      <c r="B15" s="21" t="s">
        <v>587</v>
      </c>
      <c r="C15" s="21" t="s">
        <v>593</v>
      </c>
      <c r="D15" s="21" t="s">
        <v>604</v>
      </c>
      <c r="E15" s="21" t="s">
        <v>605</v>
      </c>
      <c r="F15" s="21" t="s">
        <v>606</v>
      </c>
      <c r="G15" s="21" t="s">
        <v>607</v>
      </c>
      <c r="H15" s="21" t="s">
        <v>608</v>
      </c>
      <c r="I15" s="21" t="s">
        <v>571</v>
      </c>
      <c r="J15" s="21">
        <v>50</v>
      </c>
      <c r="K15" s="21" t="s">
        <v>145</v>
      </c>
    </row>
    <row r="16" spans="1:11" ht="82.8">
      <c r="A16" s="21" t="s">
        <v>190</v>
      </c>
      <c r="B16" s="21" t="s">
        <v>609</v>
      </c>
      <c r="C16" s="21" t="s">
        <v>610</v>
      </c>
      <c r="D16" s="21" t="s">
        <v>611</v>
      </c>
      <c r="E16" s="21" t="s">
        <v>612</v>
      </c>
      <c r="F16" s="21" t="s">
        <v>613</v>
      </c>
      <c r="G16" s="21" t="s">
        <v>52</v>
      </c>
      <c r="H16" s="21" t="s">
        <v>614</v>
      </c>
      <c r="I16" s="21" t="s">
        <v>571</v>
      </c>
      <c r="J16" s="21">
        <v>75</v>
      </c>
      <c r="K16" s="21" t="s">
        <v>145</v>
      </c>
    </row>
    <row r="17" spans="1:11" ht="82.8">
      <c r="A17" s="21" t="s">
        <v>190</v>
      </c>
      <c r="B17" s="21" t="s">
        <v>609</v>
      </c>
      <c r="C17" s="21" t="s">
        <v>593</v>
      </c>
      <c r="D17" s="21" t="s">
        <v>615</v>
      </c>
      <c r="E17" s="21" t="s">
        <v>616</v>
      </c>
      <c r="F17" s="21" t="s">
        <v>617</v>
      </c>
      <c r="G17" s="21" t="s">
        <v>615</v>
      </c>
      <c r="H17" s="21" t="s">
        <v>618</v>
      </c>
      <c r="I17" s="21" t="s">
        <v>571</v>
      </c>
      <c r="J17" s="21">
        <v>75</v>
      </c>
      <c r="K17" s="21" t="s">
        <v>145</v>
      </c>
    </row>
    <row r="18" spans="1:11" ht="96.6">
      <c r="A18" s="21" t="s">
        <v>190</v>
      </c>
      <c r="B18" s="21" t="s">
        <v>609</v>
      </c>
      <c r="C18" s="21" t="s">
        <v>593</v>
      </c>
      <c r="D18" s="21" t="s">
        <v>619</v>
      </c>
      <c r="E18" s="21" t="s">
        <v>620</v>
      </c>
      <c r="F18" s="21" t="s">
        <v>621</v>
      </c>
      <c r="G18" s="21" t="s">
        <v>622</v>
      </c>
      <c r="H18" s="21" t="s">
        <v>623</v>
      </c>
      <c r="I18" s="21" t="s">
        <v>571</v>
      </c>
      <c r="J18" s="21">
        <v>75</v>
      </c>
      <c r="K18" s="21" t="s">
        <v>145</v>
      </c>
    </row>
    <row r="19" spans="1:11" ht="69">
      <c r="A19" s="21" t="s">
        <v>190</v>
      </c>
      <c r="B19" s="21" t="s">
        <v>609</v>
      </c>
      <c r="C19" s="21" t="s">
        <v>19</v>
      </c>
      <c r="D19" s="21" t="s">
        <v>624</v>
      </c>
      <c r="E19" s="21" t="s">
        <v>625</v>
      </c>
      <c r="F19" s="21" t="s">
        <v>626</v>
      </c>
      <c r="G19" s="21" t="s">
        <v>627</v>
      </c>
      <c r="H19" s="21" t="s">
        <v>628</v>
      </c>
      <c r="I19" s="21" t="s">
        <v>571</v>
      </c>
      <c r="J19" s="21">
        <v>75</v>
      </c>
      <c r="K19" s="21" t="s">
        <v>145</v>
      </c>
    </row>
    <row r="20" spans="1:11" ht="82.8">
      <c r="A20" s="21" t="s">
        <v>193</v>
      </c>
      <c r="B20" s="21" t="s">
        <v>629</v>
      </c>
      <c r="C20" s="21" t="s">
        <v>610</v>
      </c>
      <c r="D20" s="21" t="s">
        <v>630</v>
      </c>
      <c r="E20" s="21" t="s">
        <v>631</v>
      </c>
      <c r="F20" s="21" t="s">
        <v>632</v>
      </c>
      <c r="G20" s="21" t="s">
        <v>425</v>
      </c>
      <c r="H20" s="21" t="s">
        <v>633</v>
      </c>
      <c r="I20" s="21" t="s">
        <v>571</v>
      </c>
      <c r="J20" s="21">
        <v>100</v>
      </c>
      <c r="K20" s="21" t="s">
        <v>145</v>
      </c>
    </row>
    <row r="21" spans="1:11" ht="69">
      <c r="A21" s="21" t="s">
        <v>193</v>
      </c>
      <c r="B21" s="21" t="s">
        <v>629</v>
      </c>
      <c r="C21" s="21" t="s">
        <v>371</v>
      </c>
      <c r="D21" s="21" t="s">
        <v>634</v>
      </c>
      <c r="E21" s="21" t="s">
        <v>635</v>
      </c>
      <c r="F21" s="21" t="s">
        <v>636</v>
      </c>
      <c r="G21" s="21" t="s">
        <v>637</v>
      </c>
      <c r="H21" s="21" t="s">
        <v>638</v>
      </c>
      <c r="I21" s="21" t="s">
        <v>571</v>
      </c>
      <c r="J21" s="21">
        <v>75</v>
      </c>
      <c r="K21" s="21" t="s">
        <v>145</v>
      </c>
    </row>
    <row r="22" spans="1:11" ht="82.8">
      <c r="A22" s="21" t="s">
        <v>193</v>
      </c>
      <c r="B22" s="21" t="s">
        <v>629</v>
      </c>
      <c r="C22" s="21" t="s">
        <v>263</v>
      </c>
      <c r="D22" s="21" t="s">
        <v>639</v>
      </c>
      <c r="E22" s="21" t="s">
        <v>640</v>
      </c>
      <c r="F22" s="21" t="s">
        <v>641</v>
      </c>
      <c r="G22" s="21" t="s">
        <v>642</v>
      </c>
      <c r="H22" s="21" t="s">
        <v>643</v>
      </c>
      <c r="I22" s="21" t="s">
        <v>571</v>
      </c>
      <c r="J22" s="21">
        <v>75</v>
      </c>
      <c r="K22" s="21" t="s">
        <v>145</v>
      </c>
    </row>
    <row r="23" spans="1:11" ht="69">
      <c r="A23" s="21" t="s">
        <v>196</v>
      </c>
      <c r="B23" s="21" t="s">
        <v>644</v>
      </c>
      <c r="C23" s="21" t="s">
        <v>610</v>
      </c>
      <c r="D23" s="21" t="s">
        <v>645</v>
      </c>
      <c r="E23" s="21" t="s">
        <v>646</v>
      </c>
      <c r="F23" s="21" t="s">
        <v>647</v>
      </c>
      <c r="G23" s="21" t="s">
        <v>425</v>
      </c>
      <c r="H23" s="21" t="s">
        <v>648</v>
      </c>
      <c r="I23" s="21" t="s">
        <v>571</v>
      </c>
      <c r="J23" s="21">
        <v>125</v>
      </c>
      <c r="K23" s="21" t="s">
        <v>145</v>
      </c>
    </row>
    <row r="24" spans="1:11" ht="69">
      <c r="A24" s="21" t="s">
        <v>196</v>
      </c>
      <c r="B24" s="21" t="s">
        <v>644</v>
      </c>
      <c r="C24" s="21" t="s">
        <v>276</v>
      </c>
      <c r="D24" s="21" t="s">
        <v>649</v>
      </c>
      <c r="E24" s="21" t="s">
        <v>650</v>
      </c>
      <c r="F24" s="21" t="s">
        <v>651</v>
      </c>
      <c r="G24" s="21" t="s">
        <v>652</v>
      </c>
      <c r="H24" s="21" t="s">
        <v>653</v>
      </c>
      <c r="I24" s="21" t="s">
        <v>571</v>
      </c>
      <c r="J24" s="21">
        <v>100</v>
      </c>
      <c r="K24" s="21" t="s">
        <v>145</v>
      </c>
    </row>
    <row r="25" spans="1:11" ht="69">
      <c r="A25" s="21" t="s">
        <v>196</v>
      </c>
      <c r="B25" s="21" t="s">
        <v>644</v>
      </c>
      <c r="C25" s="21" t="s">
        <v>276</v>
      </c>
      <c r="D25" s="21" t="s">
        <v>654</v>
      </c>
      <c r="E25" s="21" t="s">
        <v>655</v>
      </c>
      <c r="F25" s="21" t="s">
        <v>656</v>
      </c>
      <c r="G25" s="21" t="s">
        <v>657</v>
      </c>
      <c r="H25" s="21" t="s">
        <v>658</v>
      </c>
      <c r="I25" s="21" t="s">
        <v>571</v>
      </c>
      <c r="J25" s="21">
        <v>100</v>
      </c>
      <c r="K25" s="21" t="s">
        <v>145</v>
      </c>
    </row>
    <row r="26" spans="1:11" ht="55.2">
      <c r="A26" s="21" t="s">
        <v>196</v>
      </c>
      <c r="B26" s="21" t="s">
        <v>644</v>
      </c>
      <c r="C26" s="21" t="s">
        <v>371</v>
      </c>
      <c r="D26" s="21" t="s">
        <v>659</v>
      </c>
      <c r="E26" s="21" t="s">
        <v>660</v>
      </c>
      <c r="F26" s="21" t="s">
        <v>661</v>
      </c>
      <c r="G26" s="21" t="s">
        <v>662</v>
      </c>
      <c r="H26" s="21" t="s">
        <v>663</v>
      </c>
      <c r="I26" s="21" t="s">
        <v>571</v>
      </c>
      <c r="J26" s="21">
        <v>100</v>
      </c>
      <c r="K26" s="21" t="s">
        <v>145</v>
      </c>
    </row>
    <row r="27" spans="1:11" ht="69">
      <c r="A27" s="21" t="s">
        <v>199</v>
      </c>
      <c r="B27" s="21" t="s">
        <v>664</v>
      </c>
      <c r="C27" s="21" t="s">
        <v>276</v>
      </c>
      <c r="D27" s="21" t="s">
        <v>665</v>
      </c>
      <c r="E27" s="21" t="s">
        <v>666</v>
      </c>
      <c r="F27" s="21" t="s">
        <v>667</v>
      </c>
      <c r="G27" s="21" t="s">
        <v>657</v>
      </c>
      <c r="H27" s="21" t="s">
        <v>668</v>
      </c>
      <c r="I27" s="21" t="s">
        <v>571</v>
      </c>
      <c r="J27" s="21">
        <v>100</v>
      </c>
      <c r="K27" s="21" t="s">
        <v>145</v>
      </c>
    </row>
    <row r="28" spans="1:11" ht="82.8">
      <c r="A28" s="21" t="s">
        <v>199</v>
      </c>
      <c r="B28" s="21" t="s">
        <v>664</v>
      </c>
      <c r="C28" s="21" t="s">
        <v>276</v>
      </c>
      <c r="D28" s="21" t="s">
        <v>669</v>
      </c>
      <c r="E28" s="21" t="s">
        <v>670</v>
      </c>
      <c r="F28" s="21" t="s">
        <v>671</v>
      </c>
      <c r="G28" s="21" t="s">
        <v>657</v>
      </c>
      <c r="H28" s="21" t="s">
        <v>672</v>
      </c>
      <c r="I28" s="21" t="s">
        <v>571</v>
      </c>
      <c r="J28" s="21">
        <v>100</v>
      </c>
      <c r="K28" s="21" t="s">
        <v>145</v>
      </c>
    </row>
    <row r="29" spans="1:11" ht="96.6">
      <c r="A29" s="21" t="s">
        <v>199</v>
      </c>
      <c r="B29" s="21" t="s">
        <v>664</v>
      </c>
      <c r="C29" s="21" t="s">
        <v>24</v>
      </c>
      <c r="D29" s="21" t="s">
        <v>673</v>
      </c>
      <c r="E29" s="21" t="s">
        <v>674</v>
      </c>
      <c r="F29" s="21" t="s">
        <v>675</v>
      </c>
      <c r="G29" s="21" t="s">
        <v>271</v>
      </c>
      <c r="H29" s="21" t="s">
        <v>676</v>
      </c>
      <c r="I29" s="21" t="s">
        <v>571</v>
      </c>
      <c r="J29" s="21">
        <v>100</v>
      </c>
      <c r="K29" s="21" t="s">
        <v>145</v>
      </c>
    </row>
    <row r="30" spans="1:11" ht="69">
      <c r="A30" s="21" t="s">
        <v>199</v>
      </c>
      <c r="B30" s="21" t="s">
        <v>664</v>
      </c>
      <c r="C30" s="21" t="s">
        <v>19</v>
      </c>
      <c r="D30" s="21" t="s">
        <v>241</v>
      </c>
      <c r="E30" s="21" t="s">
        <v>677</v>
      </c>
      <c r="F30" s="21" t="s">
        <v>678</v>
      </c>
      <c r="G30" s="21" t="s">
        <v>241</v>
      </c>
      <c r="H30" s="21" t="s">
        <v>679</v>
      </c>
      <c r="I30" s="21" t="s">
        <v>571</v>
      </c>
      <c r="J30" s="21">
        <v>75</v>
      </c>
      <c r="K30" s="21" t="s">
        <v>145</v>
      </c>
    </row>
    <row r="31" spans="1:11" ht="96.6">
      <c r="A31" s="21" t="s">
        <v>203</v>
      </c>
      <c r="B31" s="21" t="s">
        <v>680</v>
      </c>
      <c r="C31" s="21" t="s">
        <v>24</v>
      </c>
      <c r="D31" s="21" t="s">
        <v>681</v>
      </c>
      <c r="E31" s="21" t="s">
        <v>682</v>
      </c>
      <c r="F31" s="21" t="s">
        <v>683</v>
      </c>
      <c r="G31" s="21" t="s">
        <v>684</v>
      </c>
      <c r="H31" s="21" t="s">
        <v>685</v>
      </c>
      <c r="I31" s="21" t="s">
        <v>571</v>
      </c>
      <c r="J31" s="21">
        <v>125</v>
      </c>
      <c r="K31" s="21" t="s">
        <v>145</v>
      </c>
    </row>
    <row r="32" spans="1:11" ht="69">
      <c r="A32" s="21" t="s">
        <v>203</v>
      </c>
      <c r="B32" s="21" t="s">
        <v>680</v>
      </c>
      <c r="C32" s="21" t="s">
        <v>24</v>
      </c>
      <c r="D32" s="21" t="s">
        <v>686</v>
      </c>
      <c r="E32" s="21" t="s">
        <v>687</v>
      </c>
      <c r="F32" s="21" t="s">
        <v>688</v>
      </c>
      <c r="G32" s="21" t="s">
        <v>689</v>
      </c>
      <c r="H32" s="21" t="s">
        <v>690</v>
      </c>
      <c r="I32" s="21" t="s">
        <v>571</v>
      </c>
      <c r="J32" s="21">
        <v>125</v>
      </c>
      <c r="K32" s="21" t="s">
        <v>145</v>
      </c>
    </row>
    <row r="33" spans="1:11" ht="82.8">
      <c r="A33" s="21" t="s">
        <v>203</v>
      </c>
      <c r="B33" s="21" t="s">
        <v>680</v>
      </c>
      <c r="C33" s="21" t="s">
        <v>19</v>
      </c>
      <c r="D33" s="21" t="s">
        <v>691</v>
      </c>
      <c r="E33" s="21" t="s">
        <v>692</v>
      </c>
      <c r="F33" s="21" t="s">
        <v>693</v>
      </c>
      <c r="G33" s="21" t="s">
        <v>694</v>
      </c>
      <c r="H33" s="21" t="s">
        <v>695</v>
      </c>
      <c r="I33" s="21" t="s">
        <v>571</v>
      </c>
      <c r="J33" s="21">
        <v>100</v>
      </c>
      <c r="K33" s="21" t="s">
        <v>145</v>
      </c>
    </row>
    <row r="34" spans="1:11" ht="69">
      <c r="A34" s="21" t="s">
        <v>203</v>
      </c>
      <c r="B34" s="21" t="s">
        <v>680</v>
      </c>
      <c r="C34" s="21" t="s">
        <v>540</v>
      </c>
      <c r="D34" s="21" t="s">
        <v>696</v>
      </c>
      <c r="E34" s="21" t="s">
        <v>697</v>
      </c>
      <c r="F34" s="21" t="s">
        <v>698</v>
      </c>
      <c r="G34" s="21" t="s">
        <v>699</v>
      </c>
      <c r="H34" s="21" t="s">
        <v>700</v>
      </c>
      <c r="I34" s="21" t="s">
        <v>571</v>
      </c>
      <c r="J34" s="21">
        <v>75</v>
      </c>
      <c r="K34" s="21" t="s">
        <v>145</v>
      </c>
    </row>
    <row r="35" spans="1:11" ht="69">
      <c r="A35" s="21" t="s">
        <v>207</v>
      </c>
      <c r="B35" s="21" t="s">
        <v>701</v>
      </c>
      <c r="C35" s="21" t="s">
        <v>19</v>
      </c>
      <c r="D35" s="21" t="s">
        <v>702</v>
      </c>
      <c r="E35" s="21" t="s">
        <v>703</v>
      </c>
      <c r="F35" s="21" t="s">
        <v>704</v>
      </c>
      <c r="G35" s="21" t="s">
        <v>705</v>
      </c>
      <c r="H35" s="21" t="s">
        <v>706</v>
      </c>
      <c r="I35" s="21" t="s">
        <v>571</v>
      </c>
      <c r="J35" s="21">
        <v>150</v>
      </c>
      <c r="K35" s="21" t="s">
        <v>145</v>
      </c>
    </row>
    <row r="36" spans="1:11" ht="55.2">
      <c r="A36" s="21" t="s">
        <v>207</v>
      </c>
      <c r="B36" s="21" t="s">
        <v>701</v>
      </c>
      <c r="C36" s="21" t="s">
        <v>19</v>
      </c>
      <c r="D36" s="21" t="s">
        <v>238</v>
      </c>
      <c r="E36" s="21" t="s">
        <v>707</v>
      </c>
      <c r="F36" s="21" t="s">
        <v>708</v>
      </c>
      <c r="G36" s="21" t="s">
        <v>709</v>
      </c>
      <c r="H36" s="21" t="s">
        <v>710</v>
      </c>
      <c r="I36" s="21" t="s">
        <v>571</v>
      </c>
      <c r="J36" s="21">
        <v>100</v>
      </c>
      <c r="K36" s="21" t="s">
        <v>145</v>
      </c>
    </row>
    <row r="37" spans="1:11" ht="82.8">
      <c r="A37" s="21" t="s">
        <v>207</v>
      </c>
      <c r="B37" s="21" t="s">
        <v>701</v>
      </c>
      <c r="C37" s="21" t="s">
        <v>24</v>
      </c>
      <c r="D37" s="21" t="s">
        <v>711</v>
      </c>
      <c r="E37" s="21" t="s">
        <v>712</v>
      </c>
      <c r="F37" s="21" t="s">
        <v>713</v>
      </c>
      <c r="G37" s="21" t="s">
        <v>714</v>
      </c>
      <c r="H37" s="21" t="s">
        <v>715</v>
      </c>
      <c r="I37" s="21" t="s">
        <v>571</v>
      </c>
      <c r="J37" s="21">
        <v>125</v>
      </c>
      <c r="K37" s="21" t="s">
        <v>145</v>
      </c>
    </row>
    <row r="38" spans="1:11" ht="69">
      <c r="A38" s="21" t="s">
        <v>207</v>
      </c>
      <c r="B38" s="21" t="s">
        <v>701</v>
      </c>
      <c r="C38" s="21" t="s">
        <v>716</v>
      </c>
      <c r="D38" s="21" t="s">
        <v>717</v>
      </c>
      <c r="E38" s="21" t="s">
        <v>718</v>
      </c>
      <c r="F38" s="21" t="s">
        <v>719</v>
      </c>
      <c r="G38" s="21" t="s">
        <v>720</v>
      </c>
      <c r="H38" s="21" t="s">
        <v>721</v>
      </c>
      <c r="I38" s="21" t="s">
        <v>133</v>
      </c>
      <c r="J38" s="21">
        <v>50</v>
      </c>
      <c r="K38" s="21" t="s">
        <v>145</v>
      </c>
    </row>
    <row r="39" spans="1:11" ht="69">
      <c r="A39" s="21" t="s">
        <v>211</v>
      </c>
      <c r="B39" s="21" t="s">
        <v>722</v>
      </c>
      <c r="C39" s="21" t="s">
        <v>19</v>
      </c>
      <c r="D39" s="21" t="s">
        <v>380</v>
      </c>
      <c r="E39" s="21" t="s">
        <v>723</v>
      </c>
      <c r="F39" s="21" t="s">
        <v>724</v>
      </c>
      <c r="G39" s="21" t="s">
        <v>694</v>
      </c>
      <c r="H39" s="21" t="s">
        <v>725</v>
      </c>
      <c r="I39" s="21" t="s">
        <v>571</v>
      </c>
      <c r="J39" s="21">
        <v>150</v>
      </c>
      <c r="K39" s="21" t="s">
        <v>145</v>
      </c>
    </row>
    <row r="40" spans="1:11" ht="41.4">
      <c r="A40" s="21" t="s">
        <v>211</v>
      </c>
      <c r="B40" s="21" t="s">
        <v>722</v>
      </c>
      <c r="C40" s="21" t="s">
        <v>276</v>
      </c>
      <c r="D40" s="21" t="s">
        <v>726</v>
      </c>
      <c r="E40" s="21" t="s">
        <v>727</v>
      </c>
      <c r="F40" s="21" t="s">
        <v>728</v>
      </c>
      <c r="G40" s="21" t="s">
        <v>657</v>
      </c>
      <c r="H40" s="21" t="s">
        <v>729</v>
      </c>
      <c r="I40" s="21" t="s">
        <v>571</v>
      </c>
      <c r="J40" s="21">
        <v>150</v>
      </c>
      <c r="K40" s="21" t="s">
        <v>145</v>
      </c>
    </row>
    <row r="41" spans="1:11" ht="82.8">
      <c r="A41" s="21" t="s">
        <v>211</v>
      </c>
      <c r="B41" s="21" t="s">
        <v>722</v>
      </c>
      <c r="C41" s="21" t="s">
        <v>371</v>
      </c>
      <c r="D41" s="21" t="s">
        <v>730</v>
      </c>
      <c r="E41" s="21" t="s">
        <v>731</v>
      </c>
      <c r="F41" s="21" t="s">
        <v>732</v>
      </c>
      <c r="G41" s="21" t="s">
        <v>733</v>
      </c>
      <c r="H41" s="21" t="s">
        <v>734</v>
      </c>
      <c r="I41" s="21" t="s">
        <v>571</v>
      </c>
      <c r="J41" s="21">
        <v>150</v>
      </c>
      <c r="K41" s="21" t="s">
        <v>145</v>
      </c>
    </row>
    <row r="42" spans="1:11" ht="69">
      <c r="A42" s="21" t="s">
        <v>211</v>
      </c>
      <c r="B42" s="21" t="s">
        <v>722</v>
      </c>
      <c r="C42" s="21" t="s">
        <v>540</v>
      </c>
      <c r="D42" s="21" t="s">
        <v>735</v>
      </c>
      <c r="E42" s="21" t="s">
        <v>736</v>
      </c>
      <c r="F42" s="21" t="s">
        <v>737</v>
      </c>
      <c r="G42" s="21" t="s">
        <v>699</v>
      </c>
      <c r="H42" s="21" t="s">
        <v>738</v>
      </c>
      <c r="I42" s="21" t="s">
        <v>571</v>
      </c>
      <c r="J42" s="21">
        <v>50</v>
      </c>
      <c r="K42" s="21" t="s">
        <v>145</v>
      </c>
    </row>
    <row r="43" spans="1:11" ht="69">
      <c r="A43" s="21" t="s">
        <v>215</v>
      </c>
      <c r="B43" s="21" t="s">
        <v>739</v>
      </c>
      <c r="C43" s="21" t="s">
        <v>24</v>
      </c>
      <c r="D43" s="21" t="s">
        <v>740</v>
      </c>
      <c r="E43" s="21" t="s">
        <v>741</v>
      </c>
      <c r="F43" s="21" t="s">
        <v>742</v>
      </c>
      <c r="G43" s="21" t="s">
        <v>743</v>
      </c>
      <c r="H43" s="21" t="s">
        <v>744</v>
      </c>
      <c r="I43" s="21" t="s">
        <v>571</v>
      </c>
      <c r="J43" s="21">
        <v>200</v>
      </c>
      <c r="K43" s="21" t="s">
        <v>145</v>
      </c>
    </row>
    <row r="44" spans="1:11" ht="82.8">
      <c r="A44" s="21" t="s">
        <v>215</v>
      </c>
      <c r="B44" s="21" t="s">
        <v>739</v>
      </c>
      <c r="C44" s="21" t="s">
        <v>19</v>
      </c>
      <c r="D44" s="21" t="s">
        <v>315</v>
      </c>
      <c r="E44" s="21" t="s">
        <v>745</v>
      </c>
      <c r="F44" s="21" t="s">
        <v>746</v>
      </c>
      <c r="G44" s="21" t="s">
        <v>747</v>
      </c>
      <c r="H44" s="21" t="s">
        <v>748</v>
      </c>
      <c r="I44" s="21" t="s">
        <v>571</v>
      </c>
      <c r="J44" s="21">
        <v>175</v>
      </c>
      <c r="K44" s="21" t="s">
        <v>145</v>
      </c>
    </row>
    <row r="45" spans="1:11" ht="82.8">
      <c r="A45" s="21" t="s">
        <v>215</v>
      </c>
      <c r="B45" s="21" t="s">
        <v>739</v>
      </c>
      <c r="C45" s="21" t="s">
        <v>29</v>
      </c>
      <c r="D45" s="21" t="s">
        <v>749</v>
      </c>
      <c r="E45" s="21" t="s">
        <v>750</v>
      </c>
      <c r="F45" s="21" t="s">
        <v>751</v>
      </c>
      <c r="G45" s="21" t="s">
        <v>752</v>
      </c>
      <c r="H45" s="21" t="s">
        <v>753</v>
      </c>
      <c r="I45" s="21" t="s">
        <v>571</v>
      </c>
      <c r="J45" s="21">
        <v>175</v>
      </c>
      <c r="K45" s="21" t="s">
        <v>145</v>
      </c>
    </row>
    <row r="46" spans="1:11" ht="69">
      <c r="A46" s="21" t="s">
        <v>215</v>
      </c>
      <c r="B46" s="21" t="s">
        <v>739</v>
      </c>
      <c r="C46" s="21" t="s">
        <v>263</v>
      </c>
      <c r="D46" s="21" t="s">
        <v>754</v>
      </c>
      <c r="E46" s="21" t="s">
        <v>755</v>
      </c>
      <c r="F46" s="21" t="s">
        <v>756</v>
      </c>
      <c r="G46" s="21" t="s">
        <v>642</v>
      </c>
      <c r="H46" s="21" t="s">
        <v>757</v>
      </c>
      <c r="I46" s="21" t="s">
        <v>571</v>
      </c>
      <c r="J46" s="21">
        <v>125</v>
      </c>
      <c r="K46" s="21" t="s">
        <v>145</v>
      </c>
    </row>
    <row r="47" spans="1:11" ht="82.8">
      <c r="A47" s="21" t="s">
        <v>219</v>
      </c>
      <c r="B47" s="21" t="s">
        <v>758</v>
      </c>
      <c r="C47" s="21" t="s">
        <v>24</v>
      </c>
      <c r="D47" s="21" t="s">
        <v>759</v>
      </c>
      <c r="E47" s="21" t="s">
        <v>760</v>
      </c>
      <c r="F47" s="21" t="s">
        <v>761</v>
      </c>
      <c r="G47" s="21" t="s">
        <v>743</v>
      </c>
      <c r="H47" s="21" t="s">
        <v>762</v>
      </c>
      <c r="I47" s="21" t="s">
        <v>571</v>
      </c>
      <c r="J47" s="21">
        <v>175</v>
      </c>
      <c r="K47" s="21" t="s">
        <v>145</v>
      </c>
    </row>
    <row r="48" spans="1:11" ht="69">
      <c r="A48" s="21" t="s">
        <v>219</v>
      </c>
      <c r="B48" s="21" t="s">
        <v>758</v>
      </c>
      <c r="C48" s="21" t="s">
        <v>19</v>
      </c>
      <c r="D48" s="21" t="s">
        <v>247</v>
      </c>
      <c r="E48" s="21" t="s">
        <v>763</v>
      </c>
      <c r="F48" s="21" t="s">
        <v>764</v>
      </c>
      <c r="G48" s="21" t="s">
        <v>694</v>
      </c>
      <c r="H48" s="21" t="s">
        <v>765</v>
      </c>
      <c r="I48" s="21" t="s">
        <v>571</v>
      </c>
      <c r="J48" s="21">
        <v>150</v>
      </c>
      <c r="K48" s="21" t="s">
        <v>145</v>
      </c>
    </row>
    <row r="49" spans="1:11" ht="82.8">
      <c r="A49" s="21" t="s">
        <v>219</v>
      </c>
      <c r="B49" s="21" t="s">
        <v>758</v>
      </c>
      <c r="C49" s="21" t="s">
        <v>766</v>
      </c>
      <c r="D49" s="21" t="s">
        <v>767</v>
      </c>
      <c r="E49" s="21" t="s">
        <v>768</v>
      </c>
      <c r="F49" s="21" t="s">
        <v>769</v>
      </c>
      <c r="G49" s="21" t="s">
        <v>642</v>
      </c>
      <c r="H49" s="21" t="s">
        <v>770</v>
      </c>
      <c r="I49" s="21" t="s">
        <v>571</v>
      </c>
      <c r="J49" s="21">
        <v>100</v>
      </c>
      <c r="K49" s="21" t="s">
        <v>145</v>
      </c>
    </row>
    <row r="50" spans="1:11" ht="96.6">
      <c r="A50" s="21" t="s">
        <v>222</v>
      </c>
      <c r="B50" s="21" t="s">
        <v>771</v>
      </c>
      <c r="C50" s="21" t="s">
        <v>19</v>
      </c>
      <c r="D50" s="21" t="s">
        <v>772</v>
      </c>
      <c r="E50" s="21" t="s">
        <v>773</v>
      </c>
      <c r="F50" s="21" t="s">
        <v>774</v>
      </c>
      <c r="G50" s="21" t="s">
        <v>694</v>
      </c>
      <c r="H50" s="21" t="s">
        <v>775</v>
      </c>
      <c r="I50" s="21" t="s">
        <v>571</v>
      </c>
      <c r="J50" s="21">
        <v>150</v>
      </c>
      <c r="K50" s="21" t="s">
        <v>145</v>
      </c>
    </row>
    <row r="51" spans="1:11" ht="69">
      <c r="A51" s="21" t="s">
        <v>222</v>
      </c>
      <c r="B51" s="21" t="s">
        <v>771</v>
      </c>
      <c r="C51" s="21" t="s">
        <v>24</v>
      </c>
      <c r="D51" s="21" t="s">
        <v>776</v>
      </c>
      <c r="E51" s="21" t="s">
        <v>777</v>
      </c>
      <c r="F51" s="21" t="s">
        <v>778</v>
      </c>
      <c r="G51" s="21" t="s">
        <v>779</v>
      </c>
      <c r="H51" s="21" t="s">
        <v>780</v>
      </c>
      <c r="I51" s="21" t="s">
        <v>571</v>
      </c>
      <c r="J51" s="21">
        <v>100</v>
      </c>
      <c r="K51" s="21" t="s">
        <v>145</v>
      </c>
    </row>
    <row r="52" spans="1:11" ht="96.6">
      <c r="A52" s="21" t="s">
        <v>222</v>
      </c>
      <c r="B52" s="21" t="s">
        <v>771</v>
      </c>
      <c r="C52" s="21" t="s">
        <v>716</v>
      </c>
      <c r="D52" s="21" t="s">
        <v>781</v>
      </c>
      <c r="E52" s="21" t="s">
        <v>782</v>
      </c>
      <c r="F52" s="21" t="s">
        <v>783</v>
      </c>
      <c r="G52" s="21" t="s">
        <v>784</v>
      </c>
      <c r="H52" s="21" t="s">
        <v>785</v>
      </c>
      <c r="I52" s="21" t="s">
        <v>133</v>
      </c>
      <c r="J52" s="21">
        <v>100</v>
      </c>
      <c r="K52" s="21" t="s">
        <v>145</v>
      </c>
    </row>
    <row r="53" spans="1:11" ht="69">
      <c r="A53" s="21" t="s">
        <v>222</v>
      </c>
      <c r="B53" s="21" t="s">
        <v>771</v>
      </c>
      <c r="C53" s="21" t="s">
        <v>540</v>
      </c>
      <c r="D53" s="21" t="s">
        <v>227</v>
      </c>
      <c r="E53" s="21" t="s">
        <v>786</v>
      </c>
      <c r="F53" s="21" t="s">
        <v>787</v>
      </c>
      <c r="G53" s="21" t="s">
        <v>788</v>
      </c>
      <c r="H53" s="21" t="s">
        <v>789</v>
      </c>
      <c r="I53" s="21" t="s">
        <v>571</v>
      </c>
      <c r="J53" s="21">
        <v>100</v>
      </c>
      <c r="K53" s="21" t="s">
        <v>145</v>
      </c>
    </row>
    <row r="54" spans="1:1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>
      <c r="A56" s="66" t="s">
        <v>790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spans="1:1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1">
      <c r="A58" s="66" t="s">
        <v>791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1" ht="27.6">
      <c r="A59" s="36" t="s">
        <v>174</v>
      </c>
      <c r="B59" s="36" t="s">
        <v>558</v>
      </c>
      <c r="C59" s="36" t="s">
        <v>136</v>
      </c>
      <c r="D59" s="36" t="s">
        <v>559</v>
      </c>
      <c r="E59" s="36" t="s">
        <v>560</v>
      </c>
      <c r="F59" s="36" t="s">
        <v>561</v>
      </c>
      <c r="G59" s="36" t="s">
        <v>562</v>
      </c>
      <c r="H59" s="36" t="s">
        <v>563</v>
      </c>
      <c r="I59" s="36" t="s">
        <v>138</v>
      </c>
      <c r="J59" s="36" t="s">
        <v>179</v>
      </c>
      <c r="K59" s="36" t="s">
        <v>139</v>
      </c>
    </row>
    <row r="60" spans="1:11">
      <c r="A60" s="19" t="s">
        <v>182</v>
      </c>
      <c r="B60" s="19" t="s">
        <v>564</v>
      </c>
      <c r="C60" s="19" t="s">
        <v>792</v>
      </c>
      <c r="D60" s="19" t="s">
        <v>793</v>
      </c>
      <c r="E60" s="19" t="s">
        <v>794</v>
      </c>
      <c r="F60" s="19" t="s">
        <v>795</v>
      </c>
      <c r="G60" s="19" t="s">
        <v>627</v>
      </c>
      <c r="H60" s="19" t="s">
        <v>796</v>
      </c>
      <c r="I60" s="19" t="s">
        <v>571</v>
      </c>
      <c r="J60" s="19">
        <v>75</v>
      </c>
      <c r="K60" s="19" t="s">
        <v>145</v>
      </c>
    </row>
    <row r="61" spans="1:11">
      <c r="A61" t="s">
        <v>187</v>
      </c>
      <c r="B61" t="s">
        <v>587</v>
      </c>
      <c r="C61" t="s">
        <v>797</v>
      </c>
      <c r="D61" t="s">
        <v>798</v>
      </c>
      <c r="E61" t="s">
        <v>799</v>
      </c>
      <c r="F61" t="s">
        <v>800</v>
      </c>
      <c r="G61" t="s">
        <v>627</v>
      </c>
      <c r="H61" t="s">
        <v>801</v>
      </c>
      <c r="I61" t="s">
        <v>571</v>
      </c>
      <c r="J61">
        <v>75</v>
      </c>
      <c r="K61" t="s">
        <v>145</v>
      </c>
    </row>
    <row r="62" spans="1:11">
      <c r="A62" t="s">
        <v>190</v>
      </c>
      <c r="B62" t="s">
        <v>609</v>
      </c>
      <c r="C62" t="s">
        <v>802</v>
      </c>
      <c r="D62" t="s">
        <v>803</v>
      </c>
      <c r="E62" t="s">
        <v>804</v>
      </c>
      <c r="F62" t="s">
        <v>805</v>
      </c>
      <c r="G62" t="s">
        <v>627</v>
      </c>
      <c r="H62" t="s">
        <v>806</v>
      </c>
      <c r="I62" t="s">
        <v>571</v>
      </c>
      <c r="J62">
        <v>100</v>
      </c>
      <c r="K62" t="s">
        <v>145</v>
      </c>
    </row>
    <row r="63" spans="1:11">
      <c r="A63" t="s">
        <v>193</v>
      </c>
      <c r="B63" t="s">
        <v>629</v>
      </c>
      <c r="C63" t="s">
        <v>807</v>
      </c>
      <c r="D63" t="s">
        <v>808</v>
      </c>
      <c r="E63" t="s">
        <v>809</v>
      </c>
      <c r="F63" t="s">
        <v>810</v>
      </c>
      <c r="G63" t="s">
        <v>811</v>
      </c>
      <c r="H63" t="s">
        <v>812</v>
      </c>
      <c r="I63" t="s">
        <v>571</v>
      </c>
      <c r="J63">
        <v>75</v>
      </c>
      <c r="K63" t="s">
        <v>145</v>
      </c>
    </row>
    <row r="64" spans="1:11">
      <c r="A64" t="s">
        <v>196</v>
      </c>
      <c r="B64" t="s">
        <v>644</v>
      </c>
      <c r="C64" t="s">
        <v>813</v>
      </c>
      <c r="D64" t="s">
        <v>814</v>
      </c>
      <c r="E64" t="s">
        <v>815</v>
      </c>
      <c r="F64" t="s">
        <v>816</v>
      </c>
      <c r="G64" t="s">
        <v>817</v>
      </c>
      <c r="H64" t="s">
        <v>818</v>
      </c>
      <c r="I64" t="s">
        <v>571</v>
      </c>
      <c r="J64">
        <v>100</v>
      </c>
      <c r="K64" t="s">
        <v>145</v>
      </c>
    </row>
    <row r="65" spans="1:11">
      <c r="A65" t="s">
        <v>199</v>
      </c>
      <c r="B65" t="s">
        <v>664</v>
      </c>
      <c r="C65" t="s">
        <v>819</v>
      </c>
      <c r="D65" t="s">
        <v>820</v>
      </c>
      <c r="E65" t="s">
        <v>821</v>
      </c>
      <c r="F65" t="s">
        <v>822</v>
      </c>
      <c r="G65" t="s">
        <v>823</v>
      </c>
      <c r="H65" t="s">
        <v>824</v>
      </c>
      <c r="I65" t="s">
        <v>571</v>
      </c>
      <c r="J65">
        <v>100</v>
      </c>
      <c r="K65" t="s">
        <v>145</v>
      </c>
    </row>
    <row r="66" spans="1:11">
      <c r="A66" t="s">
        <v>203</v>
      </c>
      <c r="B66" t="s">
        <v>680</v>
      </c>
      <c r="C66" t="s">
        <v>825</v>
      </c>
      <c r="D66" t="s">
        <v>826</v>
      </c>
      <c r="E66" t="s">
        <v>827</v>
      </c>
      <c r="F66" t="s">
        <v>828</v>
      </c>
      <c r="G66" t="s">
        <v>709</v>
      </c>
      <c r="H66" t="s">
        <v>829</v>
      </c>
      <c r="I66" t="s">
        <v>571</v>
      </c>
      <c r="J66">
        <v>125</v>
      </c>
      <c r="K66" t="s">
        <v>145</v>
      </c>
    </row>
    <row r="67" spans="1:11">
      <c r="A67" t="s">
        <v>207</v>
      </c>
      <c r="B67" t="s">
        <v>701</v>
      </c>
      <c r="C67" t="s">
        <v>819</v>
      </c>
      <c r="D67" t="s">
        <v>830</v>
      </c>
      <c r="E67" t="s">
        <v>831</v>
      </c>
      <c r="F67" t="s">
        <v>832</v>
      </c>
      <c r="G67" t="s">
        <v>823</v>
      </c>
      <c r="H67" t="s">
        <v>833</v>
      </c>
      <c r="I67" t="s">
        <v>571</v>
      </c>
      <c r="J67">
        <v>125</v>
      </c>
      <c r="K67" t="s">
        <v>145</v>
      </c>
    </row>
    <row r="68" spans="1:11">
      <c r="A68" t="s">
        <v>211</v>
      </c>
      <c r="B68" t="s">
        <v>722</v>
      </c>
      <c r="C68" t="s">
        <v>834</v>
      </c>
      <c r="D68" t="s">
        <v>835</v>
      </c>
      <c r="E68" t="s">
        <v>836</v>
      </c>
      <c r="F68" t="s">
        <v>837</v>
      </c>
      <c r="G68" t="s">
        <v>838</v>
      </c>
      <c r="H68" t="s">
        <v>839</v>
      </c>
      <c r="I68" t="s">
        <v>571</v>
      </c>
      <c r="J68">
        <v>100</v>
      </c>
      <c r="K68" t="s">
        <v>145</v>
      </c>
    </row>
    <row r="69" spans="1:11">
      <c r="A69" t="s">
        <v>215</v>
      </c>
      <c r="B69" t="s">
        <v>739</v>
      </c>
      <c r="C69" t="s">
        <v>840</v>
      </c>
      <c r="D69" t="s">
        <v>841</v>
      </c>
      <c r="E69" t="s">
        <v>842</v>
      </c>
      <c r="F69" t="s">
        <v>843</v>
      </c>
      <c r="G69" t="s">
        <v>709</v>
      </c>
      <c r="H69" t="s">
        <v>844</v>
      </c>
      <c r="I69" t="s">
        <v>571</v>
      </c>
      <c r="J69">
        <v>150</v>
      </c>
      <c r="K69" t="s">
        <v>145</v>
      </c>
    </row>
    <row r="70" spans="1:11">
      <c r="A70" t="s">
        <v>219</v>
      </c>
      <c r="B70" t="s">
        <v>758</v>
      </c>
      <c r="C70" t="s">
        <v>845</v>
      </c>
      <c r="D70" t="s">
        <v>846</v>
      </c>
      <c r="E70" t="s">
        <v>847</v>
      </c>
      <c r="F70" t="s">
        <v>848</v>
      </c>
      <c r="G70" t="s">
        <v>849</v>
      </c>
      <c r="H70" t="s">
        <v>715</v>
      </c>
      <c r="I70" t="s">
        <v>571</v>
      </c>
      <c r="J70">
        <v>150</v>
      </c>
      <c r="K70" t="s">
        <v>145</v>
      </c>
    </row>
    <row r="71" spans="1:11">
      <c r="A71" t="s">
        <v>222</v>
      </c>
      <c r="B71" t="s">
        <v>771</v>
      </c>
      <c r="C71" t="s">
        <v>850</v>
      </c>
      <c r="D71" t="s">
        <v>851</v>
      </c>
      <c r="E71" t="s">
        <v>852</v>
      </c>
      <c r="F71" t="s">
        <v>853</v>
      </c>
      <c r="G71" t="s">
        <v>854</v>
      </c>
      <c r="H71" t="s">
        <v>855</v>
      </c>
      <c r="I71" t="s">
        <v>571</v>
      </c>
      <c r="J71">
        <v>200</v>
      </c>
      <c r="K71" t="s">
        <v>145</v>
      </c>
    </row>
    <row r="73" spans="1:11" ht="19.2" customHeight="1">
      <c r="A73" s="48" t="s">
        <v>856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30.45" customHeight="1">
      <c r="A74" s="49" t="s">
        <v>199</v>
      </c>
      <c r="B74" s="49" t="s">
        <v>857</v>
      </c>
      <c r="C74" s="49" t="s">
        <v>365</v>
      </c>
      <c r="D74" s="49" t="s">
        <v>858</v>
      </c>
      <c r="E74" s="49" t="s">
        <v>859</v>
      </c>
      <c r="F74" s="49" t="s">
        <v>860</v>
      </c>
      <c r="G74" s="49" t="s">
        <v>436</v>
      </c>
      <c r="H74" s="49" t="s">
        <v>861</v>
      </c>
      <c r="I74" s="49" t="s">
        <v>571</v>
      </c>
      <c r="J74" s="49">
        <v>100</v>
      </c>
      <c r="K74" s="49" t="s">
        <v>145</v>
      </c>
    </row>
    <row r="75" spans="1:11" ht="30.45" customHeight="1">
      <c r="A75" s="49" t="s">
        <v>203</v>
      </c>
      <c r="B75" s="49" t="s">
        <v>857</v>
      </c>
      <c r="C75" s="49" t="s">
        <v>365</v>
      </c>
      <c r="D75" s="49" t="s">
        <v>862</v>
      </c>
      <c r="E75" s="49" t="s">
        <v>863</v>
      </c>
      <c r="F75" s="49" t="s">
        <v>864</v>
      </c>
      <c r="G75" s="49" t="s">
        <v>436</v>
      </c>
      <c r="H75" s="49" t="s">
        <v>865</v>
      </c>
      <c r="I75" s="49" t="s">
        <v>571</v>
      </c>
      <c r="J75" s="49">
        <v>100</v>
      </c>
      <c r="K75" s="49" t="s">
        <v>145</v>
      </c>
    </row>
    <row r="76" spans="1:11" ht="30.45" customHeight="1">
      <c r="A76" s="49" t="s">
        <v>207</v>
      </c>
      <c r="B76" s="49" t="s">
        <v>857</v>
      </c>
      <c r="C76" s="49" t="s">
        <v>365</v>
      </c>
      <c r="D76" s="49" t="s">
        <v>866</v>
      </c>
      <c r="E76" s="49" t="s">
        <v>867</v>
      </c>
      <c r="F76" s="49" t="s">
        <v>868</v>
      </c>
      <c r="G76" s="49" t="s">
        <v>436</v>
      </c>
      <c r="H76" s="49" t="s">
        <v>869</v>
      </c>
      <c r="I76" s="49" t="s">
        <v>571</v>
      </c>
      <c r="J76" s="49">
        <v>125</v>
      </c>
      <c r="K76" s="49" t="s">
        <v>145</v>
      </c>
    </row>
    <row r="77" spans="1:11" ht="30.45" customHeight="1">
      <c r="A77" s="49" t="s">
        <v>870</v>
      </c>
      <c r="B77" s="49" t="s">
        <v>871</v>
      </c>
      <c r="C77" s="49" t="s">
        <v>365</v>
      </c>
      <c r="D77" s="49" t="s">
        <v>872</v>
      </c>
      <c r="E77" s="49" t="s">
        <v>873</v>
      </c>
      <c r="F77" s="49" t="s">
        <v>874</v>
      </c>
      <c r="G77" s="49" t="s">
        <v>788</v>
      </c>
      <c r="H77" s="49" t="s">
        <v>875</v>
      </c>
      <c r="I77" s="49" t="s">
        <v>571</v>
      </c>
      <c r="J77" s="49">
        <v>50</v>
      </c>
      <c r="K77" s="49" t="s">
        <v>145</v>
      </c>
    </row>
  </sheetData>
  <mergeCells count="4">
    <mergeCell ref="A1:K1"/>
    <mergeCell ref="A2:K2"/>
    <mergeCell ref="A56:K56"/>
    <mergeCell ref="A58:K58"/>
  </mergeCells>
  <conditionalFormatting sqref="C5">
    <cfRule type="dataBar" priority="4">
      <dataBar>
        <cfvo type="min"/>
        <cfvo type="max"/>
        <color rgb="FFD32F2F"/>
      </dataBar>
    </cfRule>
    <cfRule type="dataBar" priority="7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{5A9B9ED1-F397-73BF-0259-DDF9B454D44B}</x14:id>
        </ext>
      </extLst>
    </cfRule>
  </conditionalFormatting>
  <conditionalFormatting sqref="J8:J53">
    <cfRule type="dataBar" priority="3">
      <dataBar>
        <cfvo type="min"/>
        <cfvo type="max"/>
        <color rgb="FFD32F2F"/>
      </dataBar>
    </cfRule>
    <cfRule type="dataBar" priority="6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{2301E9E2-4933-70BD-6DB3-B52272909A30}</x14:id>
        </ext>
      </extLst>
    </cfRule>
  </conditionalFormatting>
  <conditionalFormatting sqref="K8:K53">
    <cfRule type="expression" dxfId="13" priority="1">
      <formula>K8="Done"</formula>
    </cfRule>
    <cfRule type="expression" dxfId="12" priority="2">
      <formula>K8="In Progress"</formula>
    </cfRule>
  </conditionalFormatting>
  <conditionalFormatting sqref="K60:K71">
    <cfRule type="expression" dxfId="11" priority="5">
      <formula>K60="Done"</formula>
    </cfRule>
  </conditionalFormatting>
  <dataValidations count="3">
    <dataValidation type="list" sqref="K8:K53" xr:uid="{00000000-0002-0000-0700-000000000000}">
      <formula1>"Not Started,In Progress,Done,Blocked"</formula1>
    </dataValidation>
    <dataValidation type="list" sqref="I8:I53" xr:uid="{00000000-0002-0000-0700-000001000000}">
      <formula1>"Mandatory,Optional"</formula1>
    </dataValidation>
    <dataValidation type="list" sqref="K60:K71 K74:K77" xr:uid="{00000000-0002-0000-0700-000002000000}">
      <formula1>"Not Started,In Progress,Done"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9B9ED1-F397-73BF-0259-DDF9B454D44B}">
            <x14:dataBar>
              <x14:cfvo type="min"/>
              <x14:cfvo type="max"/>
              <x14:negativeFillColor auto="1"/>
              <x14:axisColor auto="1"/>
            </x14:dataBar>
          </x14:cfRule>
          <xm:sqref>C5</xm:sqref>
        </x14:conditionalFormatting>
        <x14:conditionalFormatting xmlns:xm="http://schemas.microsoft.com/office/excel/2006/main">
          <x14:cfRule type="dataBar" id="{2301E9E2-4933-70BD-6DB3-B52272909A30}">
            <x14:dataBar>
              <x14:cfvo type="min"/>
              <x14:cfvo type="max"/>
              <x14:negativeFillColor auto="1"/>
              <x14:axisColor auto="1"/>
            </x14:dataBar>
          </x14:cfRule>
          <xm:sqref>J8:J53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0"/>
  <sheetViews>
    <sheetView workbookViewId="0">
      <selection sqref="A1:J1"/>
    </sheetView>
  </sheetViews>
  <sheetFormatPr defaultRowHeight="13.8"/>
  <cols>
    <col min="1" max="1" width="26" customWidth="1"/>
    <col min="2" max="2" width="34" customWidth="1"/>
    <col min="3" max="3" width="43" customWidth="1"/>
    <col min="4" max="4" width="12" customWidth="1"/>
    <col min="5" max="5" width="16" customWidth="1"/>
    <col min="6" max="6" width="28" customWidth="1"/>
    <col min="7" max="7" width="42" customWidth="1"/>
    <col min="8" max="8" width="12" customWidth="1"/>
    <col min="9" max="9" width="34" customWidth="1"/>
    <col min="10" max="10" width="24" customWidth="1"/>
  </cols>
  <sheetData>
    <row r="1" spans="1:11" ht="21">
      <c r="A1" s="64" t="s">
        <v>876</v>
      </c>
      <c r="B1" s="64"/>
      <c r="C1" s="64"/>
      <c r="D1" s="64"/>
      <c r="E1" s="64"/>
      <c r="F1" s="64"/>
      <c r="G1" s="64"/>
      <c r="H1" s="64"/>
      <c r="I1" s="64"/>
      <c r="J1" s="64"/>
      <c r="K1" s="19"/>
    </row>
    <row r="2" spans="1:11">
      <c r="A2" s="67" t="s">
        <v>877</v>
      </c>
      <c r="B2" s="67"/>
      <c r="C2" s="67"/>
      <c r="D2" s="67"/>
      <c r="E2" s="67"/>
      <c r="F2" s="67"/>
      <c r="G2" s="67"/>
      <c r="H2" s="67"/>
      <c r="I2" s="67"/>
      <c r="J2" s="67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22" t="s">
        <v>878</v>
      </c>
      <c r="B4" s="22" t="s">
        <v>137</v>
      </c>
      <c r="C4" s="22" t="s">
        <v>879</v>
      </c>
      <c r="D4" s="22" t="s">
        <v>880</v>
      </c>
      <c r="E4" s="22" t="s">
        <v>139</v>
      </c>
      <c r="F4" s="22" t="s">
        <v>870</v>
      </c>
      <c r="G4" s="19"/>
      <c r="H4" s="23" t="s">
        <v>881</v>
      </c>
      <c r="I4" s="23" t="s">
        <v>882</v>
      </c>
      <c r="J4" s="23" t="s">
        <v>363</v>
      </c>
      <c r="K4" s="19"/>
    </row>
    <row r="5" spans="1:11" ht="27.6">
      <c r="A5" s="21" t="s">
        <v>883</v>
      </c>
      <c r="B5" s="21" t="s">
        <v>884</v>
      </c>
      <c r="C5" s="21" t="s">
        <v>885</v>
      </c>
      <c r="D5" s="21" t="s">
        <v>886</v>
      </c>
      <c r="E5" s="21" t="s">
        <v>145</v>
      </c>
      <c r="F5" s="21" t="s">
        <v>887</v>
      </c>
      <c r="G5" s="19"/>
      <c r="H5" s="21" t="s">
        <v>888</v>
      </c>
      <c r="I5" s="21" t="s">
        <v>886</v>
      </c>
      <c r="J5" s="21" t="s">
        <v>889</v>
      </c>
      <c r="K5" s="19"/>
    </row>
    <row r="6" spans="1:11" ht="27.6">
      <c r="A6" s="21" t="s">
        <v>890</v>
      </c>
      <c r="B6" s="21" t="s">
        <v>891</v>
      </c>
      <c r="C6" s="21" t="s">
        <v>892</v>
      </c>
      <c r="D6" s="21" t="s">
        <v>886</v>
      </c>
      <c r="E6" s="21" t="s">
        <v>145</v>
      </c>
      <c r="F6" s="21" t="s">
        <v>893</v>
      </c>
      <c r="G6" s="19"/>
      <c r="H6" s="21" t="s">
        <v>894</v>
      </c>
      <c r="I6" s="21" t="s">
        <v>886</v>
      </c>
      <c r="J6" s="21" t="s">
        <v>895</v>
      </c>
      <c r="K6" s="19"/>
    </row>
    <row r="7" spans="1:11" ht="27.6">
      <c r="A7" s="21" t="s">
        <v>896</v>
      </c>
      <c r="B7" s="21" t="s">
        <v>897</v>
      </c>
      <c r="C7" s="21" t="s">
        <v>898</v>
      </c>
      <c r="D7" s="21" t="s">
        <v>886</v>
      </c>
      <c r="E7" s="21" t="s">
        <v>145</v>
      </c>
      <c r="F7" s="21" t="s">
        <v>899</v>
      </c>
      <c r="G7" s="19"/>
      <c r="H7" s="21" t="s">
        <v>900</v>
      </c>
      <c r="I7" s="21" t="s">
        <v>886</v>
      </c>
      <c r="J7" s="21" t="s">
        <v>901</v>
      </c>
      <c r="K7" s="19"/>
    </row>
    <row r="8" spans="1:11" ht="27.6">
      <c r="A8" s="21" t="s">
        <v>902</v>
      </c>
      <c r="B8" s="21" t="s">
        <v>903</v>
      </c>
      <c r="C8" s="21" t="s">
        <v>904</v>
      </c>
      <c r="D8" s="21" t="s">
        <v>886</v>
      </c>
      <c r="E8" s="21" t="s">
        <v>145</v>
      </c>
      <c r="F8" s="21" t="s">
        <v>905</v>
      </c>
      <c r="G8" s="19"/>
      <c r="H8" s="21" t="s">
        <v>594</v>
      </c>
      <c r="I8" s="21" t="s">
        <v>886</v>
      </c>
      <c r="J8" s="21" t="s">
        <v>906</v>
      </c>
      <c r="K8" s="19"/>
    </row>
    <row r="9" spans="1:11" ht="27.6">
      <c r="A9" s="21" t="s">
        <v>907</v>
      </c>
      <c r="B9" s="21" t="s">
        <v>908</v>
      </c>
      <c r="C9" s="21" t="s">
        <v>909</v>
      </c>
      <c r="D9" s="21" t="s">
        <v>886</v>
      </c>
      <c r="E9" s="21" t="s">
        <v>145</v>
      </c>
      <c r="F9" s="21" t="s">
        <v>910</v>
      </c>
      <c r="G9" s="19"/>
      <c r="H9" s="21" t="s">
        <v>911</v>
      </c>
      <c r="I9" s="21" t="s">
        <v>886</v>
      </c>
      <c r="J9" s="21" t="s">
        <v>912</v>
      </c>
      <c r="K9" s="19"/>
    </row>
    <row r="10" spans="1:11" ht="27.6">
      <c r="A10" s="21" t="s">
        <v>913</v>
      </c>
      <c r="B10" s="21" t="s">
        <v>914</v>
      </c>
      <c r="C10" s="21" t="s">
        <v>915</v>
      </c>
      <c r="D10" s="21" t="s">
        <v>886</v>
      </c>
      <c r="E10" s="21" t="s">
        <v>145</v>
      </c>
      <c r="F10" s="21" t="s">
        <v>916</v>
      </c>
      <c r="G10" s="19"/>
      <c r="H10" s="21" t="s">
        <v>917</v>
      </c>
      <c r="I10" s="21" t="s">
        <v>886</v>
      </c>
      <c r="J10" s="21" t="s">
        <v>918</v>
      </c>
      <c r="K10" s="19"/>
    </row>
    <row r="11" spans="1:11" ht="27.6">
      <c r="A11" s="21" t="s">
        <v>919</v>
      </c>
      <c r="B11" s="21" t="s">
        <v>920</v>
      </c>
      <c r="C11" s="21" t="s">
        <v>921</v>
      </c>
      <c r="D11" s="21" t="s">
        <v>886</v>
      </c>
      <c r="E11" s="21" t="s">
        <v>145</v>
      </c>
      <c r="F11" s="21" t="s">
        <v>922</v>
      </c>
      <c r="G11" s="19"/>
      <c r="H11" s="21" t="s">
        <v>923</v>
      </c>
      <c r="I11" s="21" t="s">
        <v>886</v>
      </c>
      <c r="J11" s="21" t="s">
        <v>924</v>
      </c>
      <c r="K11" s="19"/>
    </row>
    <row r="12" spans="1:11" ht="27.6">
      <c r="A12" s="21" t="s">
        <v>925</v>
      </c>
      <c r="B12" s="21" t="s">
        <v>926</v>
      </c>
      <c r="C12" s="21" t="s">
        <v>927</v>
      </c>
      <c r="D12" s="21" t="s">
        <v>886</v>
      </c>
      <c r="E12" s="21" t="s">
        <v>145</v>
      </c>
      <c r="F12" s="21" t="s">
        <v>928</v>
      </c>
      <c r="G12" s="19"/>
      <c r="H12" s="21" t="s">
        <v>929</v>
      </c>
      <c r="I12" s="21" t="s">
        <v>886</v>
      </c>
      <c r="J12" s="21" t="s">
        <v>930</v>
      </c>
      <c r="K12" s="19"/>
    </row>
    <row r="13" spans="1:11" ht="27.6">
      <c r="A13" s="21" t="s">
        <v>931</v>
      </c>
      <c r="B13" s="21" t="s">
        <v>932</v>
      </c>
      <c r="C13" s="21" t="s">
        <v>933</v>
      </c>
      <c r="D13" s="21" t="s">
        <v>886</v>
      </c>
      <c r="E13" s="21" t="s">
        <v>145</v>
      </c>
      <c r="F13" s="21" t="s">
        <v>934</v>
      </c>
      <c r="G13" s="19"/>
      <c r="H13" s="21" t="s">
        <v>935</v>
      </c>
      <c r="I13" s="21" t="s">
        <v>886</v>
      </c>
      <c r="J13" s="21" t="s">
        <v>936</v>
      </c>
      <c r="K13" s="19"/>
    </row>
    <row r="14" spans="1:11" ht="27.6">
      <c r="A14" s="21" t="s">
        <v>937</v>
      </c>
      <c r="B14" s="21" t="s">
        <v>938</v>
      </c>
      <c r="C14" s="21" t="s">
        <v>939</v>
      </c>
      <c r="D14" s="21" t="s">
        <v>886</v>
      </c>
      <c r="E14" s="21" t="s">
        <v>145</v>
      </c>
      <c r="F14" s="21" t="s">
        <v>940</v>
      </c>
      <c r="G14" s="19"/>
      <c r="H14" s="21" t="s">
        <v>941</v>
      </c>
      <c r="I14" s="21" t="s">
        <v>886</v>
      </c>
      <c r="J14" s="21" t="s">
        <v>942</v>
      </c>
      <c r="K14" s="19"/>
    </row>
    <row r="15" spans="1:11" ht="27.6">
      <c r="A15" s="21" t="s">
        <v>943</v>
      </c>
      <c r="B15" s="21" t="s">
        <v>944</v>
      </c>
      <c r="C15" s="21" t="s">
        <v>945</v>
      </c>
      <c r="D15" s="21" t="s">
        <v>886</v>
      </c>
      <c r="E15" s="21" t="s">
        <v>145</v>
      </c>
      <c r="F15" s="21" t="s">
        <v>946</v>
      </c>
      <c r="G15" s="19"/>
      <c r="H15" s="21" t="s">
        <v>947</v>
      </c>
      <c r="I15" s="21" t="s">
        <v>886</v>
      </c>
      <c r="J15" s="21" t="s">
        <v>948</v>
      </c>
      <c r="K15" s="19"/>
    </row>
    <row r="16" spans="1:11">
      <c r="A16" s="19" t="s">
        <v>949</v>
      </c>
      <c r="B16" s="19" t="s">
        <v>950</v>
      </c>
      <c r="C16" s="19" t="s">
        <v>951</v>
      </c>
      <c r="D16" s="19" t="s">
        <v>886</v>
      </c>
      <c r="E16" s="19" t="s">
        <v>145</v>
      </c>
      <c r="F16" s="19" t="s">
        <v>952</v>
      </c>
      <c r="G16" s="19"/>
      <c r="H16" s="19"/>
      <c r="I16" s="19"/>
      <c r="J16" s="19"/>
      <c r="K16" s="19"/>
    </row>
    <row r="17" spans="1:1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68" t="s">
        <v>953</v>
      </c>
      <c r="B18" s="69"/>
      <c r="C18" s="69"/>
      <c r="D18" s="69"/>
      <c r="E18" s="69"/>
      <c r="F18" s="69"/>
      <c r="G18" s="69"/>
      <c r="H18" s="69"/>
      <c r="I18" s="69"/>
      <c r="J18" s="69"/>
      <c r="K18" s="19"/>
    </row>
    <row r="19" spans="1:11">
      <c r="A19" s="36" t="s">
        <v>954</v>
      </c>
      <c r="B19" s="36" t="s">
        <v>955</v>
      </c>
      <c r="C19" s="36" t="s">
        <v>879</v>
      </c>
      <c r="D19" s="36" t="s">
        <v>880</v>
      </c>
      <c r="E19" s="36" t="s">
        <v>139</v>
      </c>
      <c r="F19" s="36" t="s">
        <v>870</v>
      </c>
      <c r="G19" s="36" t="s">
        <v>956</v>
      </c>
      <c r="H19" s="36" t="s">
        <v>882</v>
      </c>
      <c r="I19" s="36" t="s">
        <v>957</v>
      </c>
      <c r="J19" s="36" t="s">
        <v>958</v>
      </c>
      <c r="K19" s="19"/>
    </row>
    <row r="20" spans="1:11" ht="27.6">
      <c r="A20" s="21" t="s">
        <v>959</v>
      </c>
      <c r="B20" s="21" t="s">
        <v>960</v>
      </c>
      <c r="C20" s="21" t="s">
        <v>961</v>
      </c>
      <c r="D20" s="21" t="s">
        <v>886</v>
      </c>
      <c r="E20" s="21" t="s">
        <v>145</v>
      </c>
      <c r="F20" s="21" t="s">
        <v>962</v>
      </c>
      <c r="G20" s="21" t="s">
        <v>963</v>
      </c>
      <c r="H20" s="21" t="s">
        <v>886</v>
      </c>
      <c r="I20" s="21" t="s">
        <v>964</v>
      </c>
      <c r="J20" s="21" t="s">
        <v>965</v>
      </c>
      <c r="K20" s="19"/>
    </row>
    <row r="21" spans="1:11" ht="27.6">
      <c r="A21" s="21" t="s">
        <v>966</v>
      </c>
      <c r="B21" s="21" t="s">
        <v>967</v>
      </c>
      <c r="C21" s="21" t="s">
        <v>968</v>
      </c>
      <c r="D21" s="21" t="s">
        <v>886</v>
      </c>
      <c r="E21" s="21" t="s">
        <v>145</v>
      </c>
      <c r="F21" s="21" t="s">
        <v>969</v>
      </c>
      <c r="G21" s="21" t="s">
        <v>970</v>
      </c>
      <c r="H21" s="21" t="s">
        <v>886</v>
      </c>
      <c r="I21" s="21" t="s">
        <v>971</v>
      </c>
      <c r="J21" s="21" t="s">
        <v>972</v>
      </c>
      <c r="K21" s="19"/>
    </row>
    <row r="22" spans="1:11" ht="27.6">
      <c r="A22" s="21" t="s">
        <v>973</v>
      </c>
      <c r="B22" s="21" t="s">
        <v>974</v>
      </c>
      <c r="C22" s="21" t="s">
        <v>975</v>
      </c>
      <c r="D22" s="21" t="s">
        <v>886</v>
      </c>
      <c r="E22" s="21" t="s">
        <v>145</v>
      </c>
      <c r="F22" s="21" t="s">
        <v>976</v>
      </c>
      <c r="G22" s="21" t="s">
        <v>977</v>
      </c>
      <c r="H22" s="21" t="s">
        <v>886</v>
      </c>
      <c r="I22" s="21" t="s">
        <v>978</v>
      </c>
      <c r="J22" s="21" t="s">
        <v>979</v>
      </c>
      <c r="K22" s="19"/>
    </row>
    <row r="23" spans="1:11" ht="27.6">
      <c r="A23" s="21" t="s">
        <v>980</v>
      </c>
      <c r="B23" s="21" t="s">
        <v>981</v>
      </c>
      <c r="C23" s="21" t="s">
        <v>982</v>
      </c>
      <c r="D23" s="21" t="s">
        <v>886</v>
      </c>
      <c r="E23" s="21" t="s">
        <v>145</v>
      </c>
      <c r="F23" s="21" t="s">
        <v>983</v>
      </c>
      <c r="G23" s="21" t="s">
        <v>984</v>
      </c>
      <c r="H23" s="21" t="s">
        <v>886</v>
      </c>
      <c r="I23" s="21" t="s">
        <v>985</v>
      </c>
      <c r="J23" s="21" t="s">
        <v>986</v>
      </c>
      <c r="K23" s="19"/>
    </row>
    <row r="24" spans="1:11" ht="27.6">
      <c r="A24" s="21" t="s">
        <v>987</v>
      </c>
      <c r="B24" s="21" t="s">
        <v>988</v>
      </c>
      <c r="C24" s="21" t="s">
        <v>989</v>
      </c>
      <c r="D24" s="21" t="s">
        <v>886</v>
      </c>
      <c r="E24" s="21" t="s">
        <v>145</v>
      </c>
      <c r="F24" s="21" t="s">
        <v>990</v>
      </c>
      <c r="G24" s="21" t="s">
        <v>991</v>
      </c>
      <c r="H24" s="21" t="s">
        <v>886</v>
      </c>
      <c r="I24" s="21" t="s">
        <v>992</v>
      </c>
      <c r="J24" s="21" t="s">
        <v>129</v>
      </c>
      <c r="K24" s="19"/>
    </row>
    <row r="25" spans="1:11" ht="27.6">
      <c r="A25" s="21" t="s">
        <v>993</v>
      </c>
      <c r="B25" s="21" t="s">
        <v>994</v>
      </c>
      <c r="C25" s="21" t="s">
        <v>995</v>
      </c>
      <c r="D25" s="21" t="s">
        <v>886</v>
      </c>
      <c r="E25" s="21" t="s">
        <v>145</v>
      </c>
      <c r="F25" s="21" t="s">
        <v>996</v>
      </c>
      <c r="G25" s="21" t="s">
        <v>997</v>
      </c>
      <c r="H25" s="21" t="s">
        <v>886</v>
      </c>
      <c r="I25" s="21" t="s">
        <v>998</v>
      </c>
      <c r="J25" s="21" t="s">
        <v>999</v>
      </c>
      <c r="K25" s="19"/>
    </row>
    <row r="26" spans="1:1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</sheetData>
  <mergeCells count="3">
    <mergeCell ref="A1:J1"/>
    <mergeCell ref="A2:J2"/>
    <mergeCell ref="A18:J18"/>
  </mergeCells>
  <conditionalFormatting sqref="E5:E15">
    <cfRule type="expression" dxfId="10" priority="1">
      <formula>E5="Done"</formula>
    </cfRule>
  </conditionalFormatting>
  <dataValidations count="1">
    <dataValidation type="list" sqref="E5:E15" xr:uid="{00000000-0002-0000-0800-000000000000}">
      <formula1>"Not Started,In Progress,Done,Archived"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0"/>
  <sheetViews>
    <sheetView topLeftCell="A22" workbookViewId="0">
      <selection sqref="A1:D1"/>
    </sheetView>
  </sheetViews>
  <sheetFormatPr defaultRowHeight="13.8"/>
  <cols>
    <col min="1" max="1" width="20" customWidth="1"/>
    <col min="2" max="2" width="40" customWidth="1"/>
    <col min="3" max="3" width="64" customWidth="1"/>
    <col min="4" max="4" width="68" customWidth="1"/>
  </cols>
  <sheetData>
    <row r="1" spans="1:11" ht="17.399999999999999">
      <c r="A1" s="70" t="s">
        <v>1000</v>
      </c>
      <c r="B1" s="70"/>
      <c r="C1" s="70"/>
      <c r="D1" s="70"/>
      <c r="E1" s="19"/>
      <c r="F1" s="19"/>
      <c r="G1" s="19"/>
      <c r="H1" s="19"/>
      <c r="I1" s="19"/>
      <c r="J1" s="19"/>
      <c r="K1" s="19"/>
    </row>
    <row r="2" spans="1:11">
      <c r="A2" s="21"/>
      <c r="B2" s="21"/>
      <c r="C2" s="21"/>
      <c r="D2" s="21"/>
      <c r="E2" s="19"/>
      <c r="F2" s="19"/>
      <c r="G2" s="19"/>
      <c r="H2" s="19"/>
      <c r="I2" s="19"/>
      <c r="J2" s="19"/>
      <c r="K2" s="19"/>
    </row>
    <row r="3" spans="1:11">
      <c r="A3" s="42" t="s">
        <v>1001</v>
      </c>
      <c r="B3" s="42" t="s">
        <v>1002</v>
      </c>
      <c r="C3" s="42" t="s">
        <v>1003</v>
      </c>
      <c r="D3" s="42" t="s">
        <v>1004</v>
      </c>
      <c r="E3" s="19"/>
      <c r="F3" s="19"/>
      <c r="G3" s="19"/>
      <c r="H3" s="19"/>
      <c r="I3" s="19"/>
      <c r="J3" s="19"/>
      <c r="K3" s="19"/>
    </row>
    <row r="4" spans="1:11">
      <c r="A4" s="21" t="s">
        <v>244</v>
      </c>
      <c r="B4" s="21" t="s">
        <v>1005</v>
      </c>
      <c r="C4" s="21" t="s">
        <v>1006</v>
      </c>
      <c r="D4" s="21" t="s">
        <v>1007</v>
      </c>
      <c r="E4" s="19"/>
      <c r="F4" s="19"/>
      <c r="G4" s="19"/>
      <c r="H4" s="19"/>
      <c r="I4" s="19"/>
      <c r="J4" s="19"/>
      <c r="K4" s="19"/>
    </row>
    <row r="5" spans="1:11">
      <c r="A5" s="21" t="s">
        <v>1008</v>
      </c>
      <c r="B5" s="21" t="s">
        <v>1009</v>
      </c>
      <c r="C5" s="21" t="s">
        <v>1010</v>
      </c>
      <c r="D5" s="21" t="s">
        <v>1011</v>
      </c>
      <c r="E5" s="19"/>
      <c r="F5" s="19"/>
      <c r="G5" s="19"/>
      <c r="H5" s="19"/>
      <c r="I5" s="19"/>
      <c r="J5" s="19"/>
      <c r="K5" s="19"/>
    </row>
    <row r="6" spans="1:11" ht="27.6">
      <c r="A6" s="21" t="s">
        <v>276</v>
      </c>
      <c r="B6" s="21" t="s">
        <v>652</v>
      </c>
      <c r="C6" s="21" t="s">
        <v>1012</v>
      </c>
      <c r="D6" s="21" t="s">
        <v>1013</v>
      </c>
      <c r="E6" s="19"/>
      <c r="F6" s="19"/>
      <c r="G6" s="19"/>
      <c r="H6" s="19"/>
      <c r="I6" s="19"/>
      <c r="J6" s="19"/>
      <c r="K6" s="19"/>
    </row>
    <row r="7" spans="1:11" ht="27.6">
      <c r="A7" s="21" t="s">
        <v>19</v>
      </c>
      <c r="B7" s="21" t="s">
        <v>1014</v>
      </c>
      <c r="C7" s="21" t="s">
        <v>1015</v>
      </c>
      <c r="D7" s="21" t="s">
        <v>1016</v>
      </c>
      <c r="E7" s="19"/>
      <c r="F7" s="19"/>
      <c r="G7" s="19"/>
      <c r="H7" s="19"/>
      <c r="I7" s="19"/>
      <c r="J7" s="19"/>
      <c r="K7" s="19"/>
    </row>
    <row r="8" spans="1:11" ht="27.6">
      <c r="A8" s="21" t="s">
        <v>1017</v>
      </c>
      <c r="B8" s="21" t="s">
        <v>241</v>
      </c>
      <c r="C8" s="21" t="s">
        <v>1018</v>
      </c>
      <c r="D8" s="21" t="s">
        <v>1019</v>
      </c>
      <c r="E8" s="19"/>
      <c r="F8" s="19"/>
      <c r="G8" s="19"/>
      <c r="H8" s="19"/>
      <c r="I8" s="19"/>
      <c r="J8" s="19"/>
      <c r="K8" s="19"/>
    </row>
    <row r="9" spans="1:11">
      <c r="A9" s="21" t="s">
        <v>365</v>
      </c>
      <c r="B9" s="21" t="s">
        <v>615</v>
      </c>
      <c r="C9" s="21" t="s">
        <v>1020</v>
      </c>
      <c r="D9" s="21" t="s">
        <v>1021</v>
      </c>
      <c r="E9" s="19"/>
      <c r="F9" s="19"/>
      <c r="G9" s="19"/>
      <c r="H9" s="19"/>
      <c r="I9" s="19"/>
      <c r="J9" s="19"/>
      <c r="K9" s="19"/>
    </row>
    <row r="10" spans="1:11">
      <c r="A10" s="21" t="s">
        <v>1022</v>
      </c>
      <c r="B10" s="21" t="s">
        <v>1023</v>
      </c>
      <c r="C10" s="21" t="s">
        <v>1024</v>
      </c>
      <c r="D10" s="21" t="s">
        <v>1025</v>
      </c>
      <c r="E10" s="19"/>
      <c r="F10" s="19"/>
      <c r="G10" s="19"/>
      <c r="H10" s="19"/>
      <c r="I10" s="19"/>
      <c r="J10" s="19"/>
      <c r="K10" s="19"/>
    </row>
    <row r="11" spans="1:11">
      <c r="A11" s="21" t="s">
        <v>1026</v>
      </c>
      <c r="B11" s="21" t="s">
        <v>1027</v>
      </c>
      <c r="C11" s="21" t="s">
        <v>1028</v>
      </c>
      <c r="D11" s="21" t="s">
        <v>1029</v>
      </c>
      <c r="E11" s="19"/>
      <c r="F11" s="19"/>
      <c r="G11" s="19"/>
      <c r="H11" s="19"/>
      <c r="I11" s="19"/>
      <c r="J11" s="19"/>
      <c r="K11" s="19"/>
    </row>
    <row r="12" spans="1:11">
      <c r="A12" s="21" t="s">
        <v>369</v>
      </c>
      <c r="B12" s="21" t="s">
        <v>575</v>
      </c>
      <c r="C12" s="21" t="s">
        <v>1030</v>
      </c>
      <c r="D12" s="21" t="s">
        <v>1031</v>
      </c>
      <c r="E12" s="19"/>
      <c r="F12" s="19"/>
      <c r="G12" s="19"/>
      <c r="H12" s="19"/>
      <c r="I12" s="19"/>
      <c r="J12" s="19"/>
      <c r="K12" s="19"/>
    </row>
    <row r="13" spans="1:11">
      <c r="A13" s="21" t="s">
        <v>263</v>
      </c>
      <c r="B13" s="21" t="s">
        <v>585</v>
      </c>
      <c r="C13" s="21" t="s">
        <v>1032</v>
      </c>
      <c r="D13" s="21" t="s">
        <v>1033</v>
      </c>
      <c r="E13" s="19"/>
      <c r="F13" s="19"/>
      <c r="G13" s="19"/>
      <c r="H13" s="19"/>
      <c r="I13" s="19"/>
      <c r="J13" s="19"/>
      <c r="K13" s="19"/>
    </row>
    <row r="14" spans="1:11">
      <c r="A14" s="21"/>
      <c r="B14" s="21"/>
      <c r="C14" s="21"/>
      <c r="D14" s="21"/>
      <c r="E14" s="19"/>
      <c r="F14" s="19"/>
      <c r="G14" s="19"/>
      <c r="H14" s="19"/>
      <c r="I14" s="19"/>
      <c r="J14" s="19"/>
      <c r="K14" s="19"/>
    </row>
    <row r="15" spans="1:11">
      <c r="A15" s="24" t="s">
        <v>1034</v>
      </c>
      <c r="B15" s="24" t="s">
        <v>1035</v>
      </c>
      <c r="C15" s="24" t="s">
        <v>1036</v>
      </c>
      <c r="D15" s="24" t="s">
        <v>1037</v>
      </c>
      <c r="E15" s="19"/>
      <c r="F15" s="19"/>
      <c r="G15" s="19"/>
      <c r="H15" s="19"/>
      <c r="I15" s="19"/>
      <c r="J15" s="19"/>
      <c r="K15" s="19"/>
    </row>
    <row r="16" spans="1:11">
      <c r="A16" s="24" t="s">
        <v>1038</v>
      </c>
      <c r="B16" s="24" t="s">
        <v>133</v>
      </c>
      <c r="C16" s="24" t="s">
        <v>1039</v>
      </c>
      <c r="D16" s="24" t="s">
        <v>1040</v>
      </c>
      <c r="E16" s="19"/>
      <c r="F16" s="19"/>
      <c r="G16" s="19"/>
      <c r="H16" s="19"/>
      <c r="I16" s="19"/>
      <c r="J16" s="19"/>
      <c r="K16" s="19"/>
    </row>
    <row r="17" spans="1:11" ht="27.6">
      <c r="A17" s="24" t="s">
        <v>463</v>
      </c>
      <c r="B17" s="24" t="s">
        <v>464</v>
      </c>
      <c r="C17" s="24" t="s">
        <v>1041</v>
      </c>
      <c r="D17" s="24" t="s">
        <v>1042</v>
      </c>
      <c r="E17" s="19"/>
      <c r="F17" s="19"/>
      <c r="G17" s="19"/>
      <c r="H17" s="19"/>
      <c r="I17" s="19"/>
      <c r="J17" s="19"/>
      <c r="K17" s="19"/>
    </row>
    <row r="18" spans="1:11">
      <c r="A18" s="24" t="s">
        <v>1043</v>
      </c>
      <c r="B18" s="24" t="s">
        <v>1044</v>
      </c>
      <c r="C18" s="24" t="s">
        <v>1045</v>
      </c>
      <c r="D18" s="24" t="s">
        <v>1046</v>
      </c>
      <c r="E18" s="19"/>
      <c r="F18" s="19"/>
      <c r="G18" s="19"/>
      <c r="H18" s="19"/>
      <c r="I18" s="19"/>
      <c r="J18" s="19"/>
      <c r="K18" s="19"/>
    </row>
    <row r="19" spans="1:11">
      <c r="A19" s="21"/>
      <c r="B19" s="21"/>
      <c r="C19" s="21"/>
      <c r="D19" s="21"/>
      <c r="E19" s="19"/>
      <c r="F19" s="19"/>
      <c r="G19" s="19"/>
      <c r="H19" s="19"/>
      <c r="I19" s="19"/>
      <c r="J19" s="19"/>
      <c r="K19" s="19"/>
    </row>
    <row r="20" spans="1:11">
      <c r="A20" s="30" t="s">
        <v>1047</v>
      </c>
      <c r="B20" s="30" t="s">
        <v>1048</v>
      </c>
      <c r="C20" s="30" t="s">
        <v>1049</v>
      </c>
      <c r="D20" s="30" t="s">
        <v>1050</v>
      </c>
      <c r="E20" s="19"/>
      <c r="F20" s="19"/>
      <c r="G20" s="19"/>
      <c r="H20" s="19"/>
      <c r="I20" s="19"/>
      <c r="J20" s="19"/>
      <c r="K20" s="19"/>
    </row>
    <row r="21" spans="1:11">
      <c r="A21" s="30" t="s">
        <v>716</v>
      </c>
      <c r="B21" s="30" t="s">
        <v>1051</v>
      </c>
      <c r="C21" s="30" t="s">
        <v>1052</v>
      </c>
      <c r="D21" s="30" t="s">
        <v>1053</v>
      </c>
      <c r="E21" s="19"/>
      <c r="F21" s="19"/>
      <c r="G21" s="19"/>
      <c r="H21" s="19"/>
      <c r="I21" s="19"/>
      <c r="J21" s="19"/>
      <c r="K21" s="19"/>
    </row>
    <row r="22" spans="1:11" ht="27.6">
      <c r="A22" s="30" t="s">
        <v>263</v>
      </c>
      <c r="B22" s="30" t="s">
        <v>1054</v>
      </c>
      <c r="C22" s="30" t="s">
        <v>1055</v>
      </c>
      <c r="D22" s="30" t="s">
        <v>1056</v>
      </c>
      <c r="E22" s="19"/>
      <c r="F22" s="19"/>
      <c r="G22" s="19"/>
      <c r="H22" s="19"/>
      <c r="I22" s="19"/>
      <c r="J22" s="19"/>
      <c r="K22" s="19"/>
    </row>
    <row r="23" spans="1:11">
      <c r="A23" s="21"/>
      <c r="B23" s="21"/>
      <c r="C23" s="21"/>
      <c r="D23" s="21"/>
      <c r="E23" s="19"/>
      <c r="F23" s="19"/>
      <c r="G23" s="19"/>
      <c r="H23" s="19"/>
      <c r="I23" s="19"/>
      <c r="J23" s="19"/>
      <c r="K23" s="19"/>
    </row>
    <row r="24" spans="1:11" ht="27.6">
      <c r="A24" s="21" t="s">
        <v>627</v>
      </c>
      <c r="B24" s="21" t="s">
        <v>1057</v>
      </c>
      <c r="C24" s="21" t="s">
        <v>1058</v>
      </c>
      <c r="D24" s="21" t="s">
        <v>1059</v>
      </c>
      <c r="E24" s="19"/>
      <c r="F24" s="19"/>
      <c r="G24" s="19"/>
      <c r="H24" s="19"/>
      <c r="I24" s="19"/>
      <c r="J24" s="19"/>
      <c r="K24" s="19"/>
    </row>
    <row r="25" spans="1:11" ht="27.6">
      <c r="A25" s="21" t="s">
        <v>627</v>
      </c>
      <c r="B25" s="21" t="s">
        <v>1060</v>
      </c>
      <c r="C25" s="21" t="s">
        <v>1061</v>
      </c>
      <c r="D25" s="21" t="s">
        <v>1062</v>
      </c>
      <c r="E25" s="19"/>
      <c r="F25" s="19"/>
      <c r="G25" s="19"/>
      <c r="H25" s="19"/>
      <c r="I25" s="19"/>
      <c r="J25" s="19"/>
      <c r="K25" s="19"/>
    </row>
    <row r="26" spans="1:11" ht="27.6">
      <c r="A26" s="21" t="s">
        <v>627</v>
      </c>
      <c r="B26" s="21" t="s">
        <v>1063</v>
      </c>
      <c r="C26" s="21" t="s">
        <v>1064</v>
      </c>
      <c r="D26" s="21" t="s">
        <v>1065</v>
      </c>
      <c r="E26" s="19"/>
      <c r="F26" s="19"/>
      <c r="G26" s="19"/>
      <c r="H26" s="19"/>
      <c r="I26" s="19"/>
      <c r="J26" s="19"/>
      <c r="K26" s="19"/>
    </row>
    <row r="27" spans="1:11" ht="27.6">
      <c r="A27" s="21" t="s">
        <v>627</v>
      </c>
      <c r="B27" s="21" t="s">
        <v>1066</v>
      </c>
      <c r="C27" s="21" t="s">
        <v>1067</v>
      </c>
      <c r="D27" s="21" t="s">
        <v>1068</v>
      </c>
      <c r="E27" s="19"/>
      <c r="F27" s="19"/>
      <c r="G27" s="19"/>
      <c r="H27" s="19"/>
      <c r="I27" s="19"/>
      <c r="J27" s="19"/>
      <c r="K27" s="19"/>
    </row>
    <row r="28" spans="1:11">
      <c r="A28" s="21" t="s">
        <v>627</v>
      </c>
      <c r="B28" s="21" t="s">
        <v>1069</v>
      </c>
      <c r="C28" s="21" t="s">
        <v>1070</v>
      </c>
      <c r="D28" s="21" t="s">
        <v>1071</v>
      </c>
      <c r="E28" s="19"/>
      <c r="F28" s="19"/>
      <c r="G28" s="19"/>
      <c r="H28" s="19"/>
      <c r="I28" s="19"/>
      <c r="J28" s="19"/>
      <c r="K28" s="19"/>
    </row>
    <row r="29" spans="1:11" ht="27.6">
      <c r="A29" s="21" t="s">
        <v>627</v>
      </c>
      <c r="B29" s="21" t="s">
        <v>1072</v>
      </c>
      <c r="C29" s="21" t="s">
        <v>1073</v>
      </c>
      <c r="D29" s="21" t="s">
        <v>1074</v>
      </c>
      <c r="E29" s="19"/>
      <c r="F29" s="19"/>
      <c r="G29" s="19"/>
      <c r="H29" s="19"/>
      <c r="I29" s="19"/>
      <c r="J29" s="19"/>
      <c r="K29" s="19"/>
    </row>
    <row r="30" spans="1:11" ht="27.6">
      <c r="A30" s="21" t="s">
        <v>627</v>
      </c>
      <c r="B30" s="21" t="s">
        <v>1075</v>
      </c>
      <c r="C30" s="21" t="s">
        <v>1076</v>
      </c>
      <c r="D30" s="21" t="s">
        <v>1077</v>
      </c>
      <c r="E30" s="19"/>
      <c r="F30" s="19"/>
      <c r="G30" s="19"/>
      <c r="H30" s="19"/>
      <c r="I30" s="19"/>
      <c r="J30" s="19"/>
      <c r="K30" s="19"/>
    </row>
    <row r="31" spans="1:11">
      <c r="A31" s="21" t="s">
        <v>627</v>
      </c>
      <c r="B31" s="21" t="s">
        <v>1078</v>
      </c>
      <c r="C31" s="21" t="s">
        <v>1079</v>
      </c>
      <c r="D31" s="21" t="s">
        <v>1080</v>
      </c>
      <c r="E31" s="19"/>
      <c r="F31" s="19"/>
      <c r="G31" s="19"/>
      <c r="H31" s="19"/>
      <c r="I31" s="19"/>
      <c r="J31" s="19"/>
      <c r="K31" s="19"/>
    </row>
    <row r="32" spans="1:11" ht="27.6">
      <c r="A32" s="21" t="s">
        <v>365</v>
      </c>
      <c r="B32" s="21" t="s">
        <v>436</v>
      </c>
      <c r="C32" s="21" t="s">
        <v>1081</v>
      </c>
      <c r="D32" s="21" t="s">
        <v>1082</v>
      </c>
      <c r="E32" s="19"/>
      <c r="F32" s="19"/>
      <c r="G32" s="19"/>
      <c r="H32" s="19"/>
      <c r="I32" s="19"/>
      <c r="J32" s="19"/>
      <c r="K32" s="19"/>
    </row>
    <row r="33" spans="1:11" ht="27.6">
      <c r="A33" s="21" t="s">
        <v>166</v>
      </c>
      <c r="B33" s="21" t="s">
        <v>456</v>
      </c>
      <c r="C33" s="21" t="s">
        <v>1083</v>
      </c>
      <c r="D33" s="21" t="s">
        <v>1084</v>
      </c>
      <c r="E33" s="19"/>
      <c r="F33" s="19"/>
      <c r="G33" s="19"/>
      <c r="H33" s="19"/>
      <c r="I33" s="19"/>
      <c r="J33" s="19"/>
      <c r="K33" s="19"/>
    </row>
    <row r="34" spans="1:11" ht="27.6">
      <c r="A34" s="21" t="s">
        <v>166</v>
      </c>
      <c r="B34" s="21" t="s">
        <v>1085</v>
      </c>
      <c r="C34" s="21" t="s">
        <v>1086</v>
      </c>
      <c r="D34" s="21" t="s">
        <v>1087</v>
      </c>
      <c r="E34" s="19"/>
      <c r="F34" s="19"/>
      <c r="G34" s="19"/>
      <c r="H34" s="19"/>
      <c r="I34" s="19"/>
      <c r="J34" s="19"/>
      <c r="K34" s="19"/>
    </row>
    <row r="35" spans="1:11" ht="27.6">
      <c r="A35" s="21" t="s">
        <v>409</v>
      </c>
      <c r="B35" s="21" t="s">
        <v>1088</v>
      </c>
      <c r="C35" s="21" t="s">
        <v>1089</v>
      </c>
      <c r="D35" s="21" t="s">
        <v>1090</v>
      </c>
      <c r="E35" s="19"/>
      <c r="F35" s="19"/>
      <c r="G35" s="19"/>
      <c r="H35" s="19"/>
      <c r="I35" s="19"/>
      <c r="J35" s="19"/>
      <c r="K35" s="19"/>
    </row>
    <row r="36" spans="1:11" ht="27.6">
      <c r="A36" s="21" t="s">
        <v>412</v>
      </c>
      <c r="B36" s="21" t="s">
        <v>1091</v>
      </c>
      <c r="C36" s="21" t="s">
        <v>1092</v>
      </c>
      <c r="D36" s="21" t="s">
        <v>1093</v>
      </c>
      <c r="E36" s="19"/>
      <c r="F36" s="19"/>
      <c r="G36" s="19"/>
      <c r="H36" s="19"/>
      <c r="I36" s="19"/>
      <c r="J36" s="19"/>
      <c r="K36" s="19"/>
    </row>
    <row r="37" spans="1:11" ht="27.6">
      <c r="A37" s="21" t="s">
        <v>412</v>
      </c>
      <c r="B37" s="21" t="s">
        <v>1094</v>
      </c>
      <c r="C37" s="21" t="s">
        <v>1095</v>
      </c>
      <c r="D37" s="21" t="s">
        <v>1096</v>
      </c>
      <c r="E37" s="19"/>
      <c r="F37" s="19"/>
      <c r="G37" s="19"/>
      <c r="H37" s="19"/>
      <c r="I37" s="19"/>
      <c r="J37" s="19"/>
      <c r="K37" s="19"/>
    </row>
    <row r="38" spans="1:1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</sheetData>
  <mergeCells count="1">
    <mergeCell ref="A1:D1"/>
  </mergeCell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1"/>
  <sheetViews>
    <sheetView workbookViewId="0">
      <selection sqref="A1:L1"/>
    </sheetView>
  </sheetViews>
  <sheetFormatPr defaultRowHeight="13.8"/>
  <cols>
    <col min="1" max="1" width="10" customWidth="1"/>
    <col min="2" max="2" width="40" customWidth="1"/>
    <col min="3" max="3" width="55" customWidth="1"/>
    <col min="4" max="5" width="24" customWidth="1"/>
    <col min="6" max="6" width="16" customWidth="1"/>
    <col min="7" max="7" width="50" customWidth="1"/>
    <col min="8" max="8" width="32" customWidth="1"/>
    <col min="9" max="9" width="18" customWidth="1"/>
    <col min="10" max="10" width="10" customWidth="1"/>
    <col min="11" max="11" width="15" customWidth="1"/>
    <col min="12" max="12" width="30" customWidth="1"/>
  </cols>
  <sheetData>
    <row r="1" spans="1:12" ht="24" customHeight="1">
      <c r="A1" s="71" t="s">
        <v>1097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>
      <c r="A2" s="72" t="s">
        <v>1098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2">
      <c r="A4" s="31" t="s">
        <v>1099</v>
      </c>
      <c r="B4" s="31" t="s">
        <v>6</v>
      </c>
      <c r="C4" s="31" t="s">
        <v>9</v>
      </c>
      <c r="D4" s="31" t="s">
        <v>553</v>
      </c>
      <c r="E4" s="31" t="s">
        <v>554</v>
      </c>
      <c r="F4" s="31" t="s">
        <v>1100</v>
      </c>
    </row>
    <row r="5" spans="1:12">
      <c r="A5" s="32">
        <f>COUNTA(A9:A60)</f>
        <v>42</v>
      </c>
      <c r="B5" s="32">
        <f>COUNTIF(K9:K60,"Done")</f>
        <v>0</v>
      </c>
      <c r="C5" s="33">
        <f>IFERROR(B5/A5,0)</f>
        <v>0</v>
      </c>
      <c r="D5" s="32">
        <f>SUMIF(K9:K60,"Done",J9:J60)</f>
        <v>0</v>
      </c>
      <c r="E5" s="32">
        <f>SUM(J9:J60)</f>
        <v>4250</v>
      </c>
      <c r="F5" s="32">
        <f>COUNTIF(I9:I60,"&lt;&gt;")</f>
        <v>20</v>
      </c>
    </row>
    <row r="8" spans="1:12" ht="24" customHeight="1">
      <c r="A8" s="35" t="s">
        <v>174</v>
      </c>
      <c r="B8" s="35" t="s">
        <v>1101</v>
      </c>
      <c r="C8" s="35" t="s">
        <v>1001</v>
      </c>
      <c r="D8" s="35" t="s">
        <v>1102</v>
      </c>
      <c r="E8" s="35" t="s">
        <v>560</v>
      </c>
      <c r="F8" s="35" t="s">
        <v>561</v>
      </c>
      <c r="G8" s="35" t="s">
        <v>1103</v>
      </c>
      <c r="H8" s="35" t="s">
        <v>1104</v>
      </c>
      <c r="I8" s="35" t="s">
        <v>417</v>
      </c>
      <c r="J8" s="35" t="s">
        <v>179</v>
      </c>
      <c r="K8" s="35" t="s">
        <v>139</v>
      </c>
      <c r="L8" s="35" t="s">
        <v>181</v>
      </c>
    </row>
    <row r="9" spans="1:12" ht="69">
      <c r="A9" s="9" t="s">
        <v>182</v>
      </c>
      <c r="B9" s="9" t="s">
        <v>14</v>
      </c>
      <c r="C9" s="9" t="s">
        <v>965</v>
      </c>
      <c r="D9" s="9" t="s">
        <v>1105</v>
      </c>
      <c r="E9" s="9" t="s">
        <v>1106</v>
      </c>
      <c r="F9" s="9" t="s">
        <v>1107</v>
      </c>
      <c r="G9" s="9" t="s">
        <v>1108</v>
      </c>
      <c r="H9" s="9" t="s">
        <v>1109</v>
      </c>
      <c r="I9" s="9"/>
      <c r="J9" s="9">
        <v>50</v>
      </c>
      <c r="K9" s="9" t="s">
        <v>145</v>
      </c>
      <c r="L9" s="9" t="s">
        <v>1110</v>
      </c>
    </row>
    <row r="10" spans="1:12" ht="69">
      <c r="A10" s="9" t="s">
        <v>182</v>
      </c>
      <c r="B10" s="9" t="s">
        <v>14</v>
      </c>
      <c r="C10" s="9" t="s">
        <v>1111</v>
      </c>
      <c r="D10" s="9" t="s">
        <v>1112</v>
      </c>
      <c r="E10" s="9" t="s">
        <v>1113</v>
      </c>
      <c r="F10" s="9" t="s">
        <v>1114</v>
      </c>
      <c r="G10" s="9" t="s">
        <v>1115</v>
      </c>
      <c r="H10" s="9" t="s">
        <v>1116</v>
      </c>
      <c r="I10" s="9"/>
      <c r="J10" s="9">
        <v>50</v>
      </c>
      <c r="K10" s="9" t="s">
        <v>145</v>
      </c>
      <c r="L10" s="9"/>
    </row>
    <row r="11" spans="1:12" ht="69">
      <c r="A11" s="9" t="s">
        <v>187</v>
      </c>
      <c r="B11" s="9" t="s">
        <v>14</v>
      </c>
      <c r="C11" s="9" t="s">
        <v>283</v>
      </c>
      <c r="D11" s="9" t="s">
        <v>1117</v>
      </c>
      <c r="E11" s="9" t="s">
        <v>1118</v>
      </c>
      <c r="F11" s="9" t="s">
        <v>1119</v>
      </c>
      <c r="G11" s="9" t="s">
        <v>1120</v>
      </c>
      <c r="H11" s="9" t="s">
        <v>1121</v>
      </c>
      <c r="I11" s="9"/>
      <c r="J11" s="9">
        <v>75</v>
      </c>
      <c r="K11" s="9" t="s">
        <v>145</v>
      </c>
      <c r="L11" s="9"/>
    </row>
    <row r="12" spans="1:12" ht="41.4">
      <c r="A12" s="9" t="s">
        <v>187</v>
      </c>
      <c r="B12" s="9" t="s">
        <v>14</v>
      </c>
      <c r="C12" s="9" t="s">
        <v>373</v>
      </c>
      <c r="D12" s="9" t="s">
        <v>1122</v>
      </c>
      <c r="E12" s="9" t="s">
        <v>1123</v>
      </c>
      <c r="F12" s="9" t="s">
        <v>1124</v>
      </c>
      <c r="G12" s="9" t="s">
        <v>1125</v>
      </c>
      <c r="H12" s="9" t="s">
        <v>1126</v>
      </c>
      <c r="I12" s="9"/>
      <c r="J12" s="9">
        <v>75</v>
      </c>
      <c r="K12" s="9" t="s">
        <v>145</v>
      </c>
      <c r="L12" s="9"/>
    </row>
    <row r="13" spans="1:12" ht="82.8">
      <c r="A13" s="9" t="s">
        <v>190</v>
      </c>
      <c r="B13" s="9" t="s">
        <v>1127</v>
      </c>
      <c r="C13" s="9" t="s">
        <v>1128</v>
      </c>
      <c r="D13" s="9" t="s">
        <v>1129</v>
      </c>
      <c r="E13" s="9" t="s">
        <v>1130</v>
      </c>
      <c r="F13" s="9" t="s">
        <v>1131</v>
      </c>
      <c r="G13" s="9" t="s">
        <v>1132</v>
      </c>
      <c r="H13" s="9" t="s">
        <v>1133</v>
      </c>
      <c r="I13" s="9" t="s">
        <v>110</v>
      </c>
      <c r="J13" s="9">
        <v>75</v>
      </c>
      <c r="K13" s="9" t="s">
        <v>145</v>
      </c>
      <c r="L13" s="9" t="s">
        <v>1134</v>
      </c>
    </row>
    <row r="14" spans="1:12" ht="69">
      <c r="A14" s="9" t="s">
        <v>190</v>
      </c>
      <c r="B14" s="9" t="s">
        <v>1127</v>
      </c>
      <c r="C14" s="9" t="s">
        <v>1135</v>
      </c>
      <c r="D14" s="9" t="s">
        <v>1136</v>
      </c>
      <c r="E14" s="9" t="s">
        <v>1137</v>
      </c>
      <c r="F14" s="9" t="s">
        <v>1138</v>
      </c>
      <c r="G14" s="9" t="s">
        <v>1139</v>
      </c>
      <c r="H14" s="9" t="s">
        <v>1140</v>
      </c>
      <c r="I14" s="9" t="s">
        <v>110</v>
      </c>
      <c r="J14" s="9">
        <v>75</v>
      </c>
      <c r="K14" s="9" t="s">
        <v>145</v>
      </c>
      <c r="L14" s="9"/>
    </row>
    <row r="15" spans="1:12" ht="41.4">
      <c r="A15" s="9" t="s">
        <v>193</v>
      </c>
      <c r="B15" s="9" t="s">
        <v>1127</v>
      </c>
      <c r="C15" s="9" t="s">
        <v>1128</v>
      </c>
      <c r="D15" s="9" t="s">
        <v>1141</v>
      </c>
      <c r="E15" s="9" t="s">
        <v>1142</v>
      </c>
      <c r="F15" s="9" t="s">
        <v>1143</v>
      </c>
      <c r="G15" s="9" t="s">
        <v>1144</v>
      </c>
      <c r="H15" s="9" t="s">
        <v>1145</v>
      </c>
      <c r="I15" s="9" t="s">
        <v>110</v>
      </c>
      <c r="J15" s="9">
        <v>75</v>
      </c>
      <c r="K15" s="9" t="s">
        <v>145</v>
      </c>
      <c r="L15" s="9"/>
    </row>
    <row r="16" spans="1:12" ht="69">
      <c r="A16" s="9" t="s">
        <v>196</v>
      </c>
      <c r="B16" s="9" t="s">
        <v>1146</v>
      </c>
      <c r="C16" s="9" t="s">
        <v>1147</v>
      </c>
      <c r="D16" s="9" t="s">
        <v>432</v>
      </c>
      <c r="E16" s="9" t="s">
        <v>1148</v>
      </c>
      <c r="F16" s="9" t="s">
        <v>1149</v>
      </c>
      <c r="G16" s="9" t="s">
        <v>1150</v>
      </c>
      <c r="H16" s="9" t="s">
        <v>1151</v>
      </c>
      <c r="I16" s="9" t="s">
        <v>1152</v>
      </c>
      <c r="J16" s="9">
        <v>100</v>
      </c>
      <c r="K16" s="9" t="s">
        <v>145</v>
      </c>
      <c r="L16" s="9" t="s">
        <v>1153</v>
      </c>
    </row>
    <row r="17" spans="1:12" ht="55.2">
      <c r="A17" s="9" t="s">
        <v>196</v>
      </c>
      <c r="B17" s="9" t="s">
        <v>1146</v>
      </c>
      <c r="C17" s="9" t="s">
        <v>1154</v>
      </c>
      <c r="D17" s="9" t="s">
        <v>1155</v>
      </c>
      <c r="E17" s="9" t="s">
        <v>1156</v>
      </c>
      <c r="F17" s="9" t="s">
        <v>1157</v>
      </c>
      <c r="G17" s="9" t="s">
        <v>1158</v>
      </c>
      <c r="H17" s="9" t="s">
        <v>1159</v>
      </c>
      <c r="I17" s="9" t="s">
        <v>125</v>
      </c>
      <c r="J17" s="9">
        <v>125</v>
      </c>
      <c r="K17" s="9" t="s">
        <v>145</v>
      </c>
      <c r="L17" s="9"/>
    </row>
    <row r="18" spans="1:12" ht="82.8">
      <c r="A18" s="9" t="s">
        <v>199</v>
      </c>
      <c r="B18" s="9" t="s">
        <v>1127</v>
      </c>
      <c r="C18" s="9" t="s">
        <v>820</v>
      </c>
      <c r="D18" s="9" t="s">
        <v>1160</v>
      </c>
      <c r="E18" s="9" t="s">
        <v>1161</v>
      </c>
      <c r="F18" s="9" t="s">
        <v>1162</v>
      </c>
      <c r="G18" s="9" t="s">
        <v>1163</v>
      </c>
      <c r="H18" s="9" t="s">
        <v>1164</v>
      </c>
      <c r="I18" s="9" t="s">
        <v>118</v>
      </c>
      <c r="J18" s="9">
        <v>125</v>
      </c>
      <c r="K18" s="9" t="s">
        <v>145</v>
      </c>
      <c r="L18" s="9"/>
    </row>
    <row r="19" spans="1:12" ht="55.2">
      <c r="A19" s="9" t="s">
        <v>199</v>
      </c>
      <c r="B19" s="9" t="s">
        <v>610</v>
      </c>
      <c r="C19" s="9" t="s">
        <v>1165</v>
      </c>
      <c r="D19" s="9" t="s">
        <v>1166</v>
      </c>
      <c r="E19" s="9" t="s">
        <v>1167</v>
      </c>
      <c r="F19" s="9" t="s">
        <v>1168</v>
      </c>
      <c r="G19" s="9" t="s">
        <v>1169</v>
      </c>
      <c r="H19" s="9" t="s">
        <v>1170</v>
      </c>
      <c r="I19" s="9" t="s">
        <v>62</v>
      </c>
      <c r="J19" s="9">
        <v>100</v>
      </c>
      <c r="K19" s="9" t="s">
        <v>145</v>
      </c>
      <c r="L19" s="9"/>
    </row>
    <row r="20" spans="1:12" ht="69">
      <c r="A20" s="9" t="s">
        <v>203</v>
      </c>
      <c r="B20" s="9" t="s">
        <v>610</v>
      </c>
      <c r="C20" s="9" t="s">
        <v>1171</v>
      </c>
      <c r="D20" s="9" t="s">
        <v>1172</v>
      </c>
      <c r="E20" s="9" t="s">
        <v>1173</v>
      </c>
      <c r="F20" s="9" t="s">
        <v>1174</v>
      </c>
      <c r="G20" s="9" t="s">
        <v>1175</v>
      </c>
      <c r="H20" s="9" t="s">
        <v>1176</v>
      </c>
      <c r="I20" s="9" t="s">
        <v>62</v>
      </c>
      <c r="J20" s="9">
        <v>150</v>
      </c>
      <c r="K20" s="9" t="s">
        <v>145</v>
      </c>
      <c r="L20" s="9"/>
    </row>
    <row r="21" spans="1:12" ht="55.2">
      <c r="A21" s="9" t="s">
        <v>203</v>
      </c>
      <c r="B21" s="9" t="s">
        <v>610</v>
      </c>
      <c r="C21" s="9" t="s">
        <v>238</v>
      </c>
      <c r="D21" s="9" t="s">
        <v>1177</v>
      </c>
      <c r="E21" s="9" t="s">
        <v>1178</v>
      </c>
      <c r="F21" s="9" t="s">
        <v>1179</v>
      </c>
      <c r="G21" s="9" t="s">
        <v>1180</v>
      </c>
      <c r="H21" s="9" t="s">
        <v>1181</v>
      </c>
      <c r="I21" s="9" t="s">
        <v>62</v>
      </c>
      <c r="J21" s="9">
        <v>100</v>
      </c>
      <c r="K21" s="9" t="s">
        <v>145</v>
      </c>
      <c r="L21" s="9"/>
    </row>
    <row r="22" spans="1:12" ht="82.8">
      <c r="A22" s="9" t="s">
        <v>207</v>
      </c>
      <c r="B22" s="9" t="s">
        <v>1127</v>
      </c>
      <c r="C22" s="9" t="s">
        <v>1182</v>
      </c>
      <c r="D22" s="9" t="s">
        <v>1183</v>
      </c>
      <c r="E22" s="9" t="s">
        <v>1184</v>
      </c>
      <c r="F22" s="9" t="s">
        <v>1185</v>
      </c>
      <c r="G22" s="9" t="s">
        <v>1163</v>
      </c>
      <c r="H22" s="9" t="s">
        <v>1186</v>
      </c>
      <c r="I22" s="9" t="s">
        <v>118</v>
      </c>
      <c r="J22" s="9">
        <v>125</v>
      </c>
      <c r="K22" s="9" t="s">
        <v>145</v>
      </c>
      <c r="L22" s="9"/>
    </row>
    <row r="23" spans="1:12" ht="41.4">
      <c r="A23" s="9" t="s">
        <v>207</v>
      </c>
      <c r="B23" s="9" t="s">
        <v>1127</v>
      </c>
      <c r="C23" s="9" t="s">
        <v>1187</v>
      </c>
      <c r="D23" s="9" t="s">
        <v>1188</v>
      </c>
      <c r="E23" s="9" t="s">
        <v>1189</v>
      </c>
      <c r="F23" s="9" t="s">
        <v>1190</v>
      </c>
      <c r="G23" s="9" t="s">
        <v>1163</v>
      </c>
      <c r="H23" s="9" t="s">
        <v>1191</v>
      </c>
      <c r="I23" s="9" t="s">
        <v>118</v>
      </c>
      <c r="J23" s="9">
        <v>100</v>
      </c>
      <c r="K23" s="9" t="s">
        <v>145</v>
      </c>
      <c r="L23" s="9"/>
    </row>
    <row r="24" spans="1:12" ht="55.2">
      <c r="A24" s="9" t="s">
        <v>211</v>
      </c>
      <c r="B24" s="9" t="s">
        <v>1146</v>
      </c>
      <c r="C24" s="9" t="s">
        <v>1154</v>
      </c>
      <c r="D24" s="9" t="s">
        <v>1192</v>
      </c>
      <c r="E24" s="9" t="s">
        <v>1193</v>
      </c>
      <c r="F24" s="9" t="s">
        <v>1194</v>
      </c>
      <c r="G24" s="9" t="s">
        <v>1158</v>
      </c>
      <c r="H24" s="9" t="s">
        <v>1195</v>
      </c>
      <c r="I24" s="9" t="s">
        <v>125</v>
      </c>
      <c r="J24" s="9">
        <v>100</v>
      </c>
      <c r="K24" s="9" t="s">
        <v>145</v>
      </c>
      <c r="L24" s="9"/>
    </row>
    <row r="25" spans="1:12" ht="82.8">
      <c r="A25" s="9" t="s">
        <v>211</v>
      </c>
      <c r="B25" s="9" t="s">
        <v>1196</v>
      </c>
      <c r="C25" s="9" t="s">
        <v>1197</v>
      </c>
      <c r="D25" s="9" t="s">
        <v>1198</v>
      </c>
      <c r="E25" s="9" t="s">
        <v>1199</v>
      </c>
      <c r="F25" s="9" t="s">
        <v>1200</v>
      </c>
      <c r="G25" s="9" t="s">
        <v>1201</v>
      </c>
      <c r="H25" s="9" t="s">
        <v>1202</v>
      </c>
      <c r="I25" s="9" t="s">
        <v>130</v>
      </c>
      <c r="J25" s="9">
        <v>100</v>
      </c>
      <c r="K25" s="9" t="s">
        <v>145</v>
      </c>
      <c r="L25" s="9" t="s">
        <v>1203</v>
      </c>
    </row>
    <row r="26" spans="1:12" ht="69">
      <c r="A26" s="9" t="s">
        <v>215</v>
      </c>
      <c r="B26" s="9" t="s">
        <v>610</v>
      </c>
      <c r="C26" s="9" t="s">
        <v>1204</v>
      </c>
      <c r="D26" s="9" t="s">
        <v>1205</v>
      </c>
      <c r="E26" s="9" t="s">
        <v>1206</v>
      </c>
      <c r="F26" s="9" t="s">
        <v>1207</v>
      </c>
      <c r="G26" s="9" t="s">
        <v>1175</v>
      </c>
      <c r="H26" s="9" t="s">
        <v>1208</v>
      </c>
      <c r="I26" s="9" t="s">
        <v>62</v>
      </c>
      <c r="J26" s="9">
        <v>150</v>
      </c>
      <c r="K26" s="9" t="s">
        <v>145</v>
      </c>
      <c r="L26" s="9"/>
    </row>
    <row r="27" spans="1:12" ht="69">
      <c r="A27" s="9" t="s">
        <v>215</v>
      </c>
      <c r="B27" s="9" t="s">
        <v>1209</v>
      </c>
      <c r="C27" s="9" t="s">
        <v>1210</v>
      </c>
      <c r="D27" s="9" t="s">
        <v>1211</v>
      </c>
      <c r="E27" s="9" t="s">
        <v>1212</v>
      </c>
      <c r="F27" s="9" t="s">
        <v>1213</v>
      </c>
      <c r="G27" s="9" t="s">
        <v>1214</v>
      </c>
      <c r="H27" s="9" t="s">
        <v>1215</v>
      </c>
      <c r="I27" s="9"/>
      <c r="J27" s="9">
        <v>125</v>
      </c>
      <c r="K27" s="9" t="s">
        <v>145</v>
      </c>
      <c r="L27" s="9" t="s">
        <v>1216</v>
      </c>
    </row>
    <row r="28" spans="1:12" ht="82.8">
      <c r="A28" s="9" t="s">
        <v>219</v>
      </c>
      <c r="B28" s="9" t="s">
        <v>367</v>
      </c>
      <c r="C28" s="9" t="s">
        <v>1217</v>
      </c>
      <c r="D28" s="9" t="s">
        <v>1218</v>
      </c>
      <c r="E28" s="9" t="s">
        <v>1219</v>
      </c>
      <c r="F28" s="9" t="s">
        <v>1220</v>
      </c>
      <c r="G28" s="9" t="s">
        <v>1221</v>
      </c>
      <c r="H28" s="9" t="s">
        <v>1222</v>
      </c>
      <c r="I28" s="9"/>
      <c r="J28" s="9">
        <v>125</v>
      </c>
      <c r="K28" s="9" t="s">
        <v>145</v>
      </c>
      <c r="L28" s="9"/>
    </row>
    <row r="29" spans="1:12" ht="55.2">
      <c r="A29" s="9" t="s">
        <v>219</v>
      </c>
      <c r="B29" s="9" t="s">
        <v>1127</v>
      </c>
      <c r="C29" s="9" t="s">
        <v>1223</v>
      </c>
      <c r="D29" s="9" t="s">
        <v>1224</v>
      </c>
      <c r="E29" s="9" t="s">
        <v>1225</v>
      </c>
      <c r="F29" s="9" t="s">
        <v>1226</v>
      </c>
      <c r="G29" s="9" t="s">
        <v>1227</v>
      </c>
      <c r="H29" s="9" t="s">
        <v>1228</v>
      </c>
      <c r="I29" s="9" t="s">
        <v>1229</v>
      </c>
      <c r="J29" s="9">
        <v>150</v>
      </c>
      <c r="K29" s="9" t="s">
        <v>145</v>
      </c>
      <c r="L29" s="9"/>
    </row>
    <row r="30" spans="1:12" ht="69">
      <c r="A30" s="9" t="s">
        <v>222</v>
      </c>
      <c r="B30" s="9" t="s">
        <v>540</v>
      </c>
      <c r="C30" s="9" t="s">
        <v>1230</v>
      </c>
      <c r="D30" s="9" t="s">
        <v>1231</v>
      </c>
      <c r="E30" s="9" t="s">
        <v>1232</v>
      </c>
      <c r="F30" s="9" t="s">
        <v>1233</v>
      </c>
      <c r="G30" s="9" t="s">
        <v>1234</v>
      </c>
      <c r="H30" s="9" t="s">
        <v>1235</v>
      </c>
      <c r="I30" s="9"/>
      <c r="J30" s="9">
        <v>200</v>
      </c>
      <c r="K30" s="9" t="s">
        <v>145</v>
      </c>
      <c r="L30" s="9"/>
    </row>
    <row r="31" spans="1:12" ht="55.2">
      <c r="A31" s="9" t="s">
        <v>226</v>
      </c>
      <c r="B31" s="9" t="s">
        <v>417</v>
      </c>
      <c r="C31" s="9" t="s">
        <v>1236</v>
      </c>
      <c r="D31" s="9" t="s">
        <v>1237</v>
      </c>
      <c r="E31" s="9" t="s">
        <v>1238</v>
      </c>
      <c r="F31" s="9" t="s">
        <v>1239</v>
      </c>
      <c r="G31" s="9" t="s">
        <v>1163</v>
      </c>
      <c r="H31" s="9" t="s">
        <v>1240</v>
      </c>
      <c r="I31" s="9" t="s">
        <v>118</v>
      </c>
      <c r="J31" s="9">
        <v>100</v>
      </c>
      <c r="K31" s="9" t="s">
        <v>145</v>
      </c>
      <c r="L31" s="9"/>
    </row>
    <row r="32" spans="1:12" ht="69">
      <c r="A32" s="9" t="s">
        <v>229</v>
      </c>
      <c r="B32" s="9" t="s">
        <v>417</v>
      </c>
      <c r="C32" s="9" t="s">
        <v>1135</v>
      </c>
      <c r="D32" s="9" t="s">
        <v>1241</v>
      </c>
      <c r="E32" s="9" t="s">
        <v>1242</v>
      </c>
      <c r="F32" s="9" t="s">
        <v>1243</v>
      </c>
      <c r="G32" s="9" t="s">
        <v>1175</v>
      </c>
      <c r="H32" s="9" t="s">
        <v>1244</v>
      </c>
      <c r="I32" s="9" t="s">
        <v>62</v>
      </c>
      <c r="J32" s="9">
        <v>125</v>
      </c>
      <c r="K32" s="9" t="s">
        <v>145</v>
      </c>
      <c r="L32" s="9"/>
    </row>
    <row r="33" spans="1:12" ht="69">
      <c r="A33" s="9" t="s">
        <v>234</v>
      </c>
      <c r="B33" s="9" t="s">
        <v>417</v>
      </c>
      <c r="C33" s="9" t="s">
        <v>1147</v>
      </c>
      <c r="D33" s="9" t="s">
        <v>1245</v>
      </c>
      <c r="E33" s="9" t="s">
        <v>1246</v>
      </c>
      <c r="F33" s="9" t="s">
        <v>1247</v>
      </c>
      <c r="G33" s="9" t="s">
        <v>1158</v>
      </c>
      <c r="H33" s="9" t="s">
        <v>1248</v>
      </c>
      <c r="I33" s="9" t="s">
        <v>125</v>
      </c>
      <c r="J33" s="9">
        <v>125</v>
      </c>
      <c r="K33" s="9" t="s">
        <v>145</v>
      </c>
      <c r="L33" s="9"/>
    </row>
    <row r="34" spans="1:12" ht="55.2">
      <c r="A34" s="9" t="s">
        <v>240</v>
      </c>
      <c r="B34" s="9" t="s">
        <v>1249</v>
      </c>
      <c r="C34" s="9" t="s">
        <v>1135</v>
      </c>
      <c r="D34" s="9" t="s">
        <v>1250</v>
      </c>
      <c r="E34" s="9" t="s">
        <v>1251</v>
      </c>
      <c r="F34" s="9" t="s">
        <v>1252</v>
      </c>
      <c r="G34" s="9" t="s">
        <v>1253</v>
      </c>
      <c r="H34" s="9" t="s">
        <v>1254</v>
      </c>
      <c r="I34" s="9"/>
      <c r="J34" s="9">
        <v>175</v>
      </c>
      <c r="K34" s="9" t="s">
        <v>145</v>
      </c>
      <c r="L34" s="9"/>
    </row>
    <row r="35" spans="1:12" ht="41.4">
      <c r="A35" s="9" t="s">
        <v>246</v>
      </c>
      <c r="B35" s="9" t="s">
        <v>1249</v>
      </c>
      <c r="C35" s="9" t="s">
        <v>1255</v>
      </c>
      <c r="D35" s="9" t="s">
        <v>1256</v>
      </c>
      <c r="E35" s="9" t="s">
        <v>1257</v>
      </c>
      <c r="F35" s="9" t="s">
        <v>1258</v>
      </c>
      <c r="G35" s="9" t="s">
        <v>627</v>
      </c>
      <c r="H35" s="9" t="s">
        <v>1259</v>
      </c>
      <c r="I35" s="9"/>
      <c r="J35" s="9">
        <v>175</v>
      </c>
      <c r="K35" s="9" t="s">
        <v>145</v>
      </c>
      <c r="L35" s="9"/>
    </row>
    <row r="36" spans="1:12" ht="41.4">
      <c r="A36" s="9" t="s">
        <v>253</v>
      </c>
      <c r="B36" s="9" t="s">
        <v>1249</v>
      </c>
      <c r="C36" s="9" t="s">
        <v>1260</v>
      </c>
      <c r="D36" s="9" t="s">
        <v>1261</v>
      </c>
      <c r="E36" s="9" t="s">
        <v>1262</v>
      </c>
      <c r="F36" s="9" t="s">
        <v>1263</v>
      </c>
      <c r="G36" s="9" t="s">
        <v>1264</v>
      </c>
      <c r="H36" s="9" t="s">
        <v>1265</v>
      </c>
      <c r="I36" s="9" t="s">
        <v>1266</v>
      </c>
      <c r="J36" s="9">
        <v>175</v>
      </c>
      <c r="K36" s="9" t="s">
        <v>145</v>
      </c>
      <c r="L36" s="9" t="s">
        <v>1267</v>
      </c>
    </row>
    <row r="37" spans="1:12" ht="41.4">
      <c r="A37" s="9" t="s">
        <v>262</v>
      </c>
      <c r="B37" s="9" t="s">
        <v>1249</v>
      </c>
      <c r="C37" s="9" t="s">
        <v>1196</v>
      </c>
      <c r="D37" s="9" t="s">
        <v>1268</v>
      </c>
      <c r="E37" s="9" t="s">
        <v>1269</v>
      </c>
      <c r="F37" s="9" t="s">
        <v>1270</v>
      </c>
      <c r="G37" s="9" t="s">
        <v>1201</v>
      </c>
      <c r="H37" s="9" t="s">
        <v>1271</v>
      </c>
      <c r="I37" s="9" t="s">
        <v>130</v>
      </c>
      <c r="J37" s="9">
        <v>175</v>
      </c>
      <c r="K37" s="9" t="s">
        <v>145</v>
      </c>
      <c r="L37" s="9"/>
    </row>
    <row r="38" spans="1:12" ht="55.2">
      <c r="A38" s="9" t="s">
        <v>280</v>
      </c>
      <c r="B38" s="9" t="s">
        <v>29</v>
      </c>
      <c r="C38" s="9" t="s">
        <v>1272</v>
      </c>
      <c r="D38" s="9" t="s">
        <v>1273</v>
      </c>
      <c r="E38" s="9" t="s">
        <v>1274</v>
      </c>
      <c r="F38" s="9" t="s">
        <v>1275</v>
      </c>
      <c r="G38" s="9" t="s">
        <v>1276</v>
      </c>
      <c r="H38" s="9" t="s">
        <v>1277</v>
      </c>
      <c r="I38" s="9"/>
      <c r="J38" s="9">
        <v>250</v>
      </c>
      <c r="K38" s="9" t="s">
        <v>145</v>
      </c>
      <c r="L38" s="9" t="s">
        <v>1278</v>
      </c>
    </row>
    <row r="39" spans="1:12" ht="69">
      <c r="A39" s="9" t="s">
        <v>306</v>
      </c>
      <c r="B39" s="9" t="s">
        <v>34</v>
      </c>
      <c r="C39" s="9" t="s">
        <v>1279</v>
      </c>
      <c r="D39" s="9" t="s">
        <v>1280</v>
      </c>
      <c r="E39" s="9" t="s">
        <v>1281</v>
      </c>
      <c r="F39" s="9" t="s">
        <v>1282</v>
      </c>
      <c r="G39" s="9" t="s">
        <v>1283</v>
      </c>
      <c r="H39" s="9" t="s">
        <v>1284</v>
      </c>
      <c r="I39" s="9"/>
      <c r="J39" s="9">
        <v>250</v>
      </c>
      <c r="K39" s="9" t="s">
        <v>145</v>
      </c>
      <c r="L39" s="9"/>
    </row>
    <row r="40" spans="1:12" ht="82.8">
      <c r="A40" s="9" t="s">
        <v>344</v>
      </c>
      <c r="B40" s="9" t="s">
        <v>349</v>
      </c>
      <c r="C40" s="9" t="s">
        <v>1285</v>
      </c>
      <c r="D40" s="9" t="s">
        <v>1286</v>
      </c>
      <c r="E40" s="9" t="s">
        <v>1287</v>
      </c>
      <c r="F40" s="9" t="s">
        <v>1288</v>
      </c>
      <c r="G40" s="9" t="s">
        <v>580</v>
      </c>
      <c r="H40" s="9" t="s">
        <v>1289</v>
      </c>
      <c r="I40" s="9"/>
      <c r="J40" s="9">
        <v>350</v>
      </c>
      <c r="K40" s="9" t="s">
        <v>145</v>
      </c>
      <c r="L40" s="9" t="s">
        <v>349</v>
      </c>
    </row>
    <row r="42" spans="1:12" ht="16.8">
      <c r="A42" s="73" t="s">
        <v>1290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34" t="s">
        <v>1291</v>
      </c>
      <c r="B43" s="34" t="s">
        <v>1292</v>
      </c>
      <c r="C43" s="34" t="s">
        <v>1293</v>
      </c>
      <c r="D43" s="34" t="s">
        <v>138</v>
      </c>
      <c r="E43" s="34" t="s">
        <v>1294</v>
      </c>
      <c r="F43" s="34" t="s">
        <v>139</v>
      </c>
      <c r="G43" s="34" t="s">
        <v>1295</v>
      </c>
    </row>
    <row r="44" spans="1:12" ht="27.6">
      <c r="A44" s="9" t="s">
        <v>564</v>
      </c>
      <c r="B44" s="9" t="s">
        <v>1057</v>
      </c>
      <c r="C44" s="9" t="s">
        <v>1296</v>
      </c>
      <c r="D44" s="9" t="s">
        <v>115</v>
      </c>
      <c r="E44" s="9" t="s">
        <v>1297</v>
      </c>
      <c r="F44" s="9" t="s">
        <v>145</v>
      </c>
      <c r="G44" s="9" t="s">
        <v>1298</v>
      </c>
    </row>
    <row r="45" spans="1:12" ht="27.6">
      <c r="A45" s="9" t="s">
        <v>587</v>
      </c>
      <c r="B45" s="9" t="s">
        <v>1299</v>
      </c>
      <c r="C45" s="9" t="s">
        <v>1300</v>
      </c>
      <c r="D45" s="9" t="s">
        <v>1301</v>
      </c>
      <c r="E45" s="9" t="s">
        <v>1302</v>
      </c>
      <c r="F45" s="9" t="s">
        <v>145</v>
      </c>
      <c r="G45" s="9" t="s">
        <v>1303</v>
      </c>
    </row>
    <row r="46" spans="1:12" ht="27.6">
      <c r="A46" s="9" t="s">
        <v>609</v>
      </c>
      <c r="B46" s="9" t="s">
        <v>1304</v>
      </c>
      <c r="C46" s="9" t="s">
        <v>1305</v>
      </c>
      <c r="D46" s="9" t="s">
        <v>122</v>
      </c>
      <c r="E46" s="9" t="s">
        <v>1306</v>
      </c>
      <c r="F46" s="9" t="s">
        <v>145</v>
      </c>
      <c r="G46" s="9" t="s">
        <v>1307</v>
      </c>
    </row>
    <row r="47" spans="1:12" ht="27.6">
      <c r="A47" s="9" t="s">
        <v>629</v>
      </c>
      <c r="B47" s="9" t="s">
        <v>1308</v>
      </c>
      <c r="C47" s="9" t="s">
        <v>1309</v>
      </c>
      <c r="D47" s="9" t="s">
        <v>122</v>
      </c>
      <c r="E47" s="9" t="s">
        <v>1306</v>
      </c>
      <c r="F47" s="9" t="s">
        <v>145</v>
      </c>
      <c r="G47" s="9" t="s">
        <v>1310</v>
      </c>
    </row>
    <row r="48" spans="1:12" ht="27.6">
      <c r="A48" s="9" t="s">
        <v>644</v>
      </c>
      <c r="B48" s="9" t="s">
        <v>1311</v>
      </c>
      <c r="C48" s="9" t="s">
        <v>1312</v>
      </c>
      <c r="D48" s="9" t="s">
        <v>122</v>
      </c>
      <c r="E48" s="9" t="s">
        <v>1306</v>
      </c>
      <c r="F48" s="9" t="s">
        <v>145</v>
      </c>
      <c r="G48" s="9" t="s">
        <v>1313</v>
      </c>
    </row>
    <row r="49" spans="1:7" ht="27.6">
      <c r="A49" s="9" t="s">
        <v>664</v>
      </c>
      <c r="B49" s="9" t="s">
        <v>1314</v>
      </c>
      <c r="C49" s="9" t="s">
        <v>1315</v>
      </c>
      <c r="D49" s="9" t="s">
        <v>115</v>
      </c>
      <c r="E49" s="9" t="s">
        <v>1316</v>
      </c>
      <c r="F49" s="9" t="s">
        <v>145</v>
      </c>
      <c r="G49" s="9" t="s">
        <v>1317</v>
      </c>
    </row>
    <row r="50" spans="1:7" ht="27.6">
      <c r="A50" s="9" t="s">
        <v>680</v>
      </c>
      <c r="B50" s="9" t="s">
        <v>1318</v>
      </c>
      <c r="C50" s="9" t="s">
        <v>1319</v>
      </c>
      <c r="D50" s="9" t="s">
        <v>1301</v>
      </c>
      <c r="E50" s="9" t="s">
        <v>1316</v>
      </c>
      <c r="F50" s="9" t="s">
        <v>145</v>
      </c>
      <c r="G50" s="9" t="s">
        <v>1320</v>
      </c>
    </row>
    <row r="51" spans="1:7" ht="27.6">
      <c r="A51" s="9" t="s">
        <v>701</v>
      </c>
      <c r="B51" s="9" t="s">
        <v>1321</v>
      </c>
      <c r="C51" s="9" t="s">
        <v>1322</v>
      </c>
      <c r="D51" s="9" t="s">
        <v>1323</v>
      </c>
      <c r="E51" s="9" t="s">
        <v>1324</v>
      </c>
      <c r="F51" s="9" t="s">
        <v>145</v>
      </c>
      <c r="G51" s="9" t="s">
        <v>1325</v>
      </c>
    </row>
  </sheetData>
  <mergeCells count="3">
    <mergeCell ref="A1:L1"/>
    <mergeCell ref="A2:L2"/>
    <mergeCell ref="A42:L42"/>
  </mergeCells>
  <conditionalFormatting sqref="J9:J40">
    <cfRule type="dataBar" priority="3">
      <dataBar>
        <cfvo type="min"/>
        <cfvo type="max"/>
        <color rgb="FFD32F2F"/>
      </dataBar>
    </cfRule>
    <cfRule type="dataBar" priority="4">
      <dataBar>
        <cfvo type="min"/>
        <cfvo type="max"/>
        <color rgb="FFD32F2F"/>
      </dataBar>
      <extLst>
        <ext xmlns:x14="http://schemas.microsoft.com/office/spreadsheetml/2009/9/main" uri="{B025F937-C7B1-47D3-B67F-A62EFF666E3E}">
          <x14:id>{EEAC5B87-349C-7EE0-3E55-E9F640BF2129}</x14:id>
        </ext>
      </extLst>
    </cfRule>
  </conditionalFormatting>
  <conditionalFormatting sqref="K9:K40">
    <cfRule type="expression" dxfId="9" priority="1">
      <formula>K9="Done"</formula>
    </cfRule>
    <cfRule type="expression" dxfId="8" priority="2">
      <formula>K9="In Progress"</formula>
    </cfRule>
  </conditionalFormatting>
  <dataValidations count="1">
    <dataValidation type="list" sqref="K9:K40" xr:uid="{00000000-0002-0000-0A00-000000000000}">
      <formula1>"Not Started,In Progress,Done"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AC5B87-349C-7EE0-3E55-E9F640BF2129}">
            <x14:dataBar>
              <x14:cfvo type="min"/>
              <x14:cfvo type="max"/>
              <x14:negativeFillColor auto="1"/>
              <x14:axisColor auto="1"/>
            </x14:dataBar>
          </x14:cfRule>
          <xm:sqref>J9:J40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8"/>
  <sheetViews>
    <sheetView topLeftCell="F1" workbookViewId="0">
      <selection sqref="A1:K1"/>
    </sheetView>
  </sheetViews>
  <sheetFormatPr defaultRowHeight="13.8"/>
  <cols>
    <col min="1" max="1" width="24" customWidth="1"/>
    <col min="2" max="9" width="18" customWidth="1"/>
    <col min="10" max="10" width="28" customWidth="1"/>
    <col min="11" max="11" width="34" customWidth="1"/>
  </cols>
  <sheetData>
    <row r="1" spans="1:15" ht="17.399999999999999">
      <c r="A1" s="70" t="s">
        <v>1326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46"/>
      <c r="M1" s="70" t="s">
        <v>1327</v>
      </c>
      <c r="N1" s="70"/>
      <c r="O1" s="53"/>
    </row>
    <row r="2" spans="1:15" ht="14.4">
      <c r="A2" s="74" t="s">
        <v>1328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9"/>
      <c r="M2" s="9"/>
      <c r="N2" s="9"/>
    </row>
    <row r="3" spans="1:15" ht="41.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44" t="s">
        <v>1329</v>
      </c>
      <c r="N3" s="45">
        <f>COUNTIF(F5:F24,"Planned")+COUNTIF(F5:F24,"Studying")+COUNTIF(F5:F24,"Booked")</f>
        <v>20</v>
      </c>
    </row>
    <row r="4" spans="1:15" ht="27.6">
      <c r="A4" s="42" t="s">
        <v>417</v>
      </c>
      <c r="B4" s="42" t="s">
        <v>1330</v>
      </c>
      <c r="C4" s="42" t="s">
        <v>418</v>
      </c>
      <c r="D4" s="42" t="s">
        <v>362</v>
      </c>
      <c r="E4" s="42" t="s">
        <v>138</v>
      </c>
      <c r="F4" s="42" t="s">
        <v>139</v>
      </c>
      <c r="G4" s="42" t="s">
        <v>1331</v>
      </c>
      <c r="H4" s="42" t="s">
        <v>1332</v>
      </c>
      <c r="I4" s="42" t="s">
        <v>179</v>
      </c>
      <c r="J4" s="42" t="s">
        <v>1333</v>
      </c>
      <c r="K4" s="42" t="s">
        <v>181</v>
      </c>
      <c r="L4" s="42"/>
      <c r="M4" s="42" t="s">
        <v>420</v>
      </c>
      <c r="N4" s="42">
        <f>COUNTIF(F5:F24,"Completed")</f>
        <v>0</v>
      </c>
    </row>
    <row r="5" spans="1:15">
      <c r="A5" s="9"/>
      <c r="B5" s="9"/>
      <c r="C5" s="9"/>
      <c r="D5" s="40"/>
      <c r="E5" s="9" t="s">
        <v>152</v>
      </c>
      <c r="F5" s="9" t="s">
        <v>159</v>
      </c>
      <c r="G5" s="41"/>
      <c r="H5" s="9"/>
      <c r="I5" s="9">
        <v>250</v>
      </c>
      <c r="J5" s="9"/>
      <c r="K5" s="9"/>
      <c r="L5" s="9"/>
      <c r="M5" s="44" t="s">
        <v>27</v>
      </c>
      <c r="N5" s="45">
        <f>SUM(I5:I24)</f>
        <v>3050</v>
      </c>
    </row>
    <row r="6" spans="1:15" ht="27.6">
      <c r="A6" s="9"/>
      <c r="B6" s="9"/>
      <c r="C6" s="9"/>
      <c r="D6" s="40"/>
      <c r="E6" s="9" t="s">
        <v>435</v>
      </c>
      <c r="F6" s="9" t="s">
        <v>159</v>
      </c>
      <c r="G6" s="41"/>
      <c r="H6" s="9"/>
      <c r="I6" s="9">
        <v>150</v>
      </c>
      <c r="J6" s="9"/>
      <c r="K6" s="9"/>
      <c r="L6" s="9"/>
      <c r="M6" s="44" t="s">
        <v>1334</v>
      </c>
      <c r="N6" s="45">
        <f>COUNTIF(E5:E24,"Critical")+COUNTIF(E5:E24,"Very High")+COUNTIF(E5:E24,"High")</f>
        <v>1</v>
      </c>
    </row>
    <row r="7" spans="1:15" ht="27.6">
      <c r="A7" s="9"/>
      <c r="B7" s="9"/>
      <c r="C7" s="9"/>
      <c r="D7" s="40"/>
      <c r="E7" s="9" t="s">
        <v>467</v>
      </c>
      <c r="F7" s="9" t="s">
        <v>159</v>
      </c>
      <c r="G7" s="41"/>
      <c r="H7" s="9"/>
      <c r="I7" s="9">
        <v>100</v>
      </c>
      <c r="J7" s="9"/>
      <c r="K7" s="9"/>
      <c r="L7" s="9"/>
      <c r="M7" s="44" t="s">
        <v>1335</v>
      </c>
      <c r="N7" s="45">
        <f>COUNTA(A5:A24)</f>
        <v>0</v>
      </c>
    </row>
    <row r="8" spans="1:15">
      <c r="A8" s="9"/>
      <c r="B8" s="9"/>
      <c r="C8" s="9"/>
      <c r="D8" s="40"/>
      <c r="E8" s="9" t="s">
        <v>435</v>
      </c>
      <c r="F8" s="9" t="s">
        <v>159</v>
      </c>
      <c r="G8" s="41"/>
      <c r="H8" s="9"/>
      <c r="I8" s="9">
        <v>150</v>
      </c>
      <c r="J8" s="9"/>
      <c r="K8" s="9"/>
      <c r="L8" s="9"/>
      <c r="M8" s="9"/>
      <c r="N8" s="9"/>
    </row>
    <row r="9" spans="1:15">
      <c r="A9" s="9"/>
      <c r="B9" s="9"/>
      <c r="C9" s="9"/>
      <c r="D9" s="40"/>
      <c r="E9" s="9" t="s">
        <v>435</v>
      </c>
      <c r="F9" s="9" t="s">
        <v>159</v>
      </c>
      <c r="G9" s="41"/>
      <c r="H9" s="9"/>
      <c r="I9" s="9">
        <v>150</v>
      </c>
      <c r="J9" s="9"/>
      <c r="K9" s="9"/>
      <c r="L9" s="9"/>
      <c r="M9" s="9"/>
      <c r="N9" s="9"/>
    </row>
    <row r="10" spans="1:15">
      <c r="A10" s="9"/>
      <c r="B10" s="9"/>
      <c r="C10" s="9"/>
      <c r="D10" s="40"/>
      <c r="E10" s="9" t="s">
        <v>435</v>
      </c>
      <c r="F10" s="9" t="s">
        <v>159</v>
      </c>
      <c r="G10" s="41"/>
      <c r="H10" s="9"/>
      <c r="I10" s="9">
        <v>150</v>
      </c>
      <c r="J10" s="9"/>
      <c r="K10" s="9"/>
      <c r="L10" s="9"/>
      <c r="M10" s="9"/>
      <c r="N10" s="9"/>
    </row>
    <row r="11" spans="1:15">
      <c r="A11" s="9"/>
      <c r="B11" s="9"/>
      <c r="C11" s="9"/>
      <c r="D11" s="40"/>
      <c r="E11" s="9" t="s">
        <v>435</v>
      </c>
      <c r="F11" s="9" t="s">
        <v>159</v>
      </c>
      <c r="G11" s="41"/>
      <c r="H11" s="9"/>
      <c r="I11" s="9">
        <v>150</v>
      </c>
      <c r="J11" s="9"/>
      <c r="K11" s="9"/>
      <c r="L11" s="9"/>
      <c r="M11" s="9"/>
      <c r="N11" s="9"/>
    </row>
    <row r="12" spans="1:15">
      <c r="A12" s="9"/>
      <c r="B12" s="9"/>
      <c r="C12" s="9"/>
      <c r="D12" s="40"/>
      <c r="E12" s="9" t="s">
        <v>435</v>
      </c>
      <c r="F12" s="9" t="s">
        <v>159</v>
      </c>
      <c r="G12" s="41"/>
      <c r="H12" s="9"/>
      <c r="I12" s="9">
        <v>150</v>
      </c>
      <c r="J12" s="9"/>
      <c r="K12" s="9"/>
      <c r="L12" s="9"/>
      <c r="M12" s="9"/>
      <c r="N12" s="9"/>
    </row>
    <row r="13" spans="1:15">
      <c r="A13" s="9"/>
      <c r="B13" s="9"/>
      <c r="C13" s="9"/>
      <c r="D13" s="40"/>
      <c r="E13" s="9" t="s">
        <v>435</v>
      </c>
      <c r="F13" s="9" t="s">
        <v>159</v>
      </c>
      <c r="G13" s="41"/>
      <c r="H13" s="9"/>
      <c r="I13" s="9">
        <v>150</v>
      </c>
      <c r="J13" s="9"/>
      <c r="K13" s="9"/>
      <c r="L13" s="9"/>
      <c r="M13" s="9"/>
      <c r="N13" s="9"/>
    </row>
    <row r="14" spans="1:15">
      <c r="A14" s="9"/>
      <c r="B14" s="9"/>
      <c r="C14" s="9"/>
      <c r="D14" s="40"/>
      <c r="E14" s="9" t="s">
        <v>435</v>
      </c>
      <c r="F14" s="9" t="s">
        <v>159</v>
      </c>
      <c r="G14" s="41"/>
      <c r="H14" s="9"/>
      <c r="I14" s="9">
        <v>150</v>
      </c>
      <c r="J14" s="9"/>
      <c r="K14" s="9"/>
      <c r="L14" s="9"/>
      <c r="M14" s="9"/>
      <c r="N14" s="9"/>
    </row>
    <row r="15" spans="1:15">
      <c r="A15" s="9"/>
      <c r="B15" s="9"/>
      <c r="C15" s="9"/>
      <c r="D15" s="40"/>
      <c r="E15" s="9" t="s">
        <v>435</v>
      </c>
      <c r="F15" s="9" t="s">
        <v>159</v>
      </c>
      <c r="G15" s="41"/>
      <c r="H15" s="9"/>
      <c r="I15" s="9">
        <v>150</v>
      </c>
      <c r="J15" s="9"/>
      <c r="K15" s="9"/>
      <c r="L15" s="9"/>
      <c r="M15" s="9"/>
      <c r="N15" s="9"/>
    </row>
    <row r="16" spans="1:15">
      <c r="A16" s="9"/>
      <c r="B16" s="9"/>
      <c r="C16" s="9"/>
      <c r="D16" s="40"/>
      <c r="E16" s="9" t="s">
        <v>435</v>
      </c>
      <c r="F16" s="9" t="s">
        <v>159</v>
      </c>
      <c r="G16" s="41"/>
      <c r="H16" s="9"/>
      <c r="I16" s="9">
        <v>150</v>
      </c>
      <c r="J16" s="9"/>
      <c r="K16" s="9"/>
      <c r="L16" s="9"/>
      <c r="M16" s="9"/>
      <c r="N16" s="9"/>
    </row>
    <row r="17" spans="1:14">
      <c r="A17" s="9"/>
      <c r="B17" s="9"/>
      <c r="C17" s="9"/>
      <c r="D17" s="40"/>
      <c r="E17" s="9" t="s">
        <v>435</v>
      </c>
      <c r="F17" s="9" t="s">
        <v>159</v>
      </c>
      <c r="G17" s="41"/>
      <c r="H17" s="9"/>
      <c r="I17" s="9">
        <v>150</v>
      </c>
      <c r="J17" s="9"/>
      <c r="K17" s="9"/>
      <c r="L17" s="9"/>
      <c r="M17" s="9"/>
      <c r="N17" s="9"/>
    </row>
    <row r="18" spans="1:14">
      <c r="A18" s="9"/>
      <c r="B18" s="9"/>
      <c r="C18" s="9"/>
      <c r="D18" s="40"/>
      <c r="E18" s="9" t="s">
        <v>435</v>
      </c>
      <c r="F18" s="9" t="s">
        <v>159</v>
      </c>
      <c r="G18" s="41"/>
      <c r="H18" s="9"/>
      <c r="I18" s="9">
        <v>150</v>
      </c>
      <c r="J18" s="9"/>
      <c r="K18" s="9"/>
      <c r="L18" s="9"/>
      <c r="M18" s="9"/>
      <c r="N18" s="9"/>
    </row>
    <row r="19" spans="1:14">
      <c r="A19" s="9"/>
      <c r="B19" s="9"/>
      <c r="C19" s="9"/>
      <c r="D19" s="40"/>
      <c r="E19" s="9" t="s">
        <v>435</v>
      </c>
      <c r="F19" s="9" t="s">
        <v>159</v>
      </c>
      <c r="G19" s="41"/>
      <c r="H19" s="9"/>
      <c r="I19" s="9">
        <v>150</v>
      </c>
      <c r="J19" s="9"/>
      <c r="K19" s="9"/>
      <c r="L19" s="9"/>
      <c r="M19" s="9"/>
      <c r="N19" s="9"/>
    </row>
    <row r="20" spans="1:14">
      <c r="A20" s="9"/>
      <c r="B20" s="9"/>
      <c r="C20" s="9"/>
      <c r="D20" s="40"/>
      <c r="E20" s="9" t="s">
        <v>435</v>
      </c>
      <c r="F20" s="9" t="s">
        <v>159</v>
      </c>
      <c r="G20" s="41"/>
      <c r="H20" s="9"/>
      <c r="I20" s="9">
        <v>150</v>
      </c>
      <c r="J20" s="9"/>
      <c r="K20" s="9"/>
      <c r="L20" s="9"/>
      <c r="M20" s="9"/>
      <c r="N20" s="9"/>
    </row>
    <row r="21" spans="1:14">
      <c r="A21" s="9"/>
      <c r="B21" s="9"/>
      <c r="C21" s="9"/>
      <c r="D21" s="40"/>
      <c r="E21" s="9" t="s">
        <v>435</v>
      </c>
      <c r="F21" s="9" t="s">
        <v>159</v>
      </c>
      <c r="G21" s="41"/>
      <c r="H21" s="9"/>
      <c r="I21" s="9">
        <v>150</v>
      </c>
      <c r="J21" s="9"/>
      <c r="K21" s="9"/>
      <c r="L21" s="9"/>
      <c r="M21" s="9"/>
      <c r="N21" s="9"/>
    </row>
    <row r="22" spans="1:14">
      <c r="A22" s="9"/>
      <c r="B22" s="9"/>
      <c r="C22" s="9"/>
      <c r="D22" s="40"/>
      <c r="E22" s="9" t="s">
        <v>435</v>
      </c>
      <c r="F22" s="9" t="s">
        <v>159</v>
      </c>
      <c r="G22" s="41"/>
      <c r="H22" s="9"/>
      <c r="I22" s="9">
        <v>150</v>
      </c>
      <c r="J22" s="9"/>
      <c r="K22" s="9"/>
      <c r="L22" s="9"/>
      <c r="M22" s="9"/>
      <c r="N22" s="9"/>
    </row>
    <row r="23" spans="1:14">
      <c r="A23" s="9"/>
      <c r="B23" s="9"/>
      <c r="C23" s="9"/>
      <c r="D23" s="40"/>
      <c r="E23" s="9" t="s">
        <v>435</v>
      </c>
      <c r="F23" s="9" t="s">
        <v>159</v>
      </c>
      <c r="G23" s="41"/>
      <c r="H23" s="9"/>
      <c r="I23" s="9">
        <v>150</v>
      </c>
      <c r="J23" s="9"/>
      <c r="K23" s="9"/>
      <c r="L23" s="9"/>
      <c r="M23" s="9"/>
      <c r="N23" s="9"/>
    </row>
    <row r="24" spans="1:14">
      <c r="A24" s="9"/>
      <c r="B24" s="9"/>
      <c r="C24" s="9"/>
      <c r="D24" s="40"/>
      <c r="E24" s="9" t="s">
        <v>435</v>
      </c>
      <c r="F24" s="9" t="s">
        <v>159</v>
      </c>
      <c r="G24" s="41"/>
      <c r="H24" s="9"/>
      <c r="I24" s="9">
        <v>150</v>
      </c>
      <c r="J24" s="9"/>
      <c r="K24" s="9"/>
      <c r="L24" s="9"/>
      <c r="M24" s="9"/>
      <c r="N24" s="9"/>
    </row>
    <row r="25" spans="1:14" ht="41.4">
      <c r="A25" s="9" t="s">
        <v>436</v>
      </c>
      <c r="B25" s="9" t="s">
        <v>1336</v>
      </c>
      <c r="C25" s="9" t="s">
        <v>437</v>
      </c>
      <c r="D25" s="9" t="s">
        <v>433</v>
      </c>
      <c r="E25" s="9" t="s">
        <v>144</v>
      </c>
      <c r="F25" s="9" t="s">
        <v>159</v>
      </c>
      <c r="G25" s="9" t="s">
        <v>1337</v>
      </c>
      <c r="H25" s="9"/>
      <c r="I25" s="9">
        <v>250</v>
      </c>
      <c r="J25" s="9" t="s">
        <v>1082</v>
      </c>
      <c r="K25" s="9" t="s">
        <v>1338</v>
      </c>
      <c r="L25" s="9"/>
      <c r="M25" s="9"/>
      <c r="N25" s="9"/>
    </row>
    <row r="26" spans="1:14" ht="55.2">
      <c r="A26" s="9" t="s">
        <v>456</v>
      </c>
      <c r="B26" s="9" t="s">
        <v>1339</v>
      </c>
      <c r="C26" s="9" t="s">
        <v>1340</v>
      </c>
      <c r="D26" s="9" t="s">
        <v>168</v>
      </c>
      <c r="E26" s="9" t="s">
        <v>152</v>
      </c>
      <c r="F26" s="9" t="s">
        <v>159</v>
      </c>
      <c r="G26" s="9"/>
      <c r="H26" s="9"/>
      <c r="I26" s="9">
        <v>300</v>
      </c>
      <c r="J26" s="9" t="s">
        <v>1084</v>
      </c>
      <c r="K26" s="9" t="s">
        <v>1341</v>
      </c>
      <c r="L26" s="9"/>
      <c r="M26" s="9"/>
      <c r="N26" s="9"/>
    </row>
    <row r="27" spans="1:14" ht="27.6">
      <c r="A27" s="9" t="s">
        <v>476</v>
      </c>
      <c r="B27" s="9" t="s">
        <v>1342</v>
      </c>
      <c r="C27" s="9" t="s">
        <v>478</v>
      </c>
      <c r="D27" s="9" t="s">
        <v>479</v>
      </c>
      <c r="E27" s="9" t="s">
        <v>467</v>
      </c>
      <c r="F27" s="9" t="s">
        <v>159</v>
      </c>
      <c r="G27" s="9"/>
      <c r="H27" s="9"/>
      <c r="I27" s="9">
        <v>300</v>
      </c>
      <c r="J27" s="9"/>
      <c r="K27" s="9" t="s">
        <v>1343</v>
      </c>
      <c r="L27" s="9"/>
      <c r="M27" s="9"/>
      <c r="N27" s="9"/>
    </row>
    <row r="28" spans="1:14" ht="27.6">
      <c r="A28" s="9" t="s">
        <v>1344</v>
      </c>
      <c r="B28" s="9" t="s">
        <v>1345</v>
      </c>
      <c r="C28" s="9" t="s">
        <v>1346</v>
      </c>
      <c r="D28" s="9" t="s">
        <v>413</v>
      </c>
      <c r="E28" s="9" t="s">
        <v>435</v>
      </c>
      <c r="F28" s="9" t="s">
        <v>159</v>
      </c>
      <c r="G28" s="9"/>
      <c r="H28" s="9"/>
      <c r="I28" s="9">
        <v>150</v>
      </c>
      <c r="J28" s="9"/>
      <c r="K28" s="9" t="s">
        <v>1347</v>
      </c>
      <c r="L28" s="9"/>
      <c r="M28" s="9"/>
      <c r="N28" s="9"/>
    </row>
  </sheetData>
  <mergeCells count="3">
    <mergeCell ref="A1:K1"/>
    <mergeCell ref="A2:K2"/>
    <mergeCell ref="M1:O1"/>
  </mergeCells>
  <conditionalFormatting sqref="F5:F24">
    <cfRule type="expression" dxfId="7" priority="1">
      <formula>INDIRECT("RC",FALSE)="Completed"</formula>
    </cfRule>
    <cfRule type="expression" dxfId="6" priority="2">
      <formula>INDIRECT("RC",FALSE)="Done"</formula>
    </cfRule>
    <cfRule type="expression" dxfId="5" priority="3">
      <formula>INDIRECT("RC",FALSE)="In Progress"</formula>
    </cfRule>
  </conditionalFormatting>
  <dataValidations count="2">
    <dataValidation type="list" sqref="F5:F24" xr:uid="{00000000-0002-0000-0B00-000000000000}">
      <formula1>"Planned,Studying,Booked,Completed,Paused,Dropped"</formula1>
    </dataValidation>
    <dataValidation type="list" sqref="E5:E24" xr:uid="{00000000-0002-0000-0B00-000001000000}">
      <formula1>"Critical,Very High,High,Medium,Low"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7"/>
  <sheetViews>
    <sheetView workbookViewId="0">
      <selection sqref="A1:J1"/>
    </sheetView>
  </sheetViews>
  <sheetFormatPr defaultRowHeight="13.8"/>
  <cols>
    <col min="1" max="2" width="12" customWidth="1"/>
    <col min="3" max="3" width="18" customWidth="1"/>
    <col min="4" max="4" width="22" customWidth="1"/>
    <col min="5" max="5" width="38" customWidth="1"/>
    <col min="6" max="6" width="30" customWidth="1"/>
    <col min="7" max="9" width="18" customWidth="1"/>
    <col min="10" max="10" width="34" customWidth="1"/>
    <col min="11" max="11" width="18" customWidth="1"/>
  </cols>
  <sheetData>
    <row r="1" spans="1:10" ht="17.399999999999999">
      <c r="A1" s="70" t="s">
        <v>1348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4.4">
      <c r="A2" s="74" t="s">
        <v>1349</v>
      </c>
      <c r="B2" s="75"/>
      <c r="C2" s="75"/>
      <c r="D2" s="75"/>
      <c r="E2" s="75"/>
      <c r="F2" s="75"/>
      <c r="G2" s="75"/>
      <c r="H2" s="75"/>
      <c r="I2" s="75"/>
      <c r="J2" s="75"/>
    </row>
    <row r="3" spans="1:10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>
      <c r="A4" s="42" t="s">
        <v>1101</v>
      </c>
      <c r="B4" s="42" t="s">
        <v>1350</v>
      </c>
      <c r="C4" s="42" t="s">
        <v>1351</v>
      </c>
      <c r="D4" s="42" t="s">
        <v>361</v>
      </c>
      <c r="E4" s="42" t="s">
        <v>561</v>
      </c>
      <c r="F4" s="42" t="s">
        <v>563</v>
      </c>
      <c r="G4" s="42" t="s">
        <v>136</v>
      </c>
      <c r="H4" s="42" t="s">
        <v>139</v>
      </c>
      <c r="I4" s="42" t="s">
        <v>179</v>
      </c>
      <c r="J4" s="42" t="s">
        <v>181</v>
      </c>
    </row>
    <row r="5" spans="1:10" ht="27.6">
      <c r="A5" s="9" t="s">
        <v>142</v>
      </c>
      <c r="B5" s="9" t="s">
        <v>182</v>
      </c>
      <c r="C5" s="9" t="s">
        <v>373</v>
      </c>
      <c r="D5" s="9" t="s">
        <v>1352</v>
      </c>
      <c r="E5" s="9" t="s">
        <v>1353</v>
      </c>
      <c r="F5" s="9" t="s">
        <v>1354</v>
      </c>
      <c r="G5" s="9" t="s">
        <v>34</v>
      </c>
      <c r="H5" s="9" t="s">
        <v>145</v>
      </c>
      <c r="I5" s="9">
        <v>50</v>
      </c>
      <c r="J5" s="9"/>
    </row>
    <row r="6" spans="1:10" ht="27.6">
      <c r="A6" s="9" t="s">
        <v>142</v>
      </c>
      <c r="B6" s="9" t="s">
        <v>182</v>
      </c>
      <c r="C6" s="9" t="s">
        <v>373</v>
      </c>
      <c r="D6" s="9" t="s">
        <v>1355</v>
      </c>
      <c r="E6" s="9" t="s">
        <v>1356</v>
      </c>
      <c r="F6" s="9" t="s">
        <v>1357</v>
      </c>
      <c r="G6" s="9" t="s">
        <v>34</v>
      </c>
      <c r="H6" s="9" t="s">
        <v>145</v>
      </c>
      <c r="I6" s="9">
        <v>75</v>
      </c>
      <c r="J6" s="9"/>
    </row>
    <row r="7" spans="1:10">
      <c r="A7" s="9" t="s">
        <v>142</v>
      </c>
      <c r="B7" s="9" t="s">
        <v>187</v>
      </c>
      <c r="C7" s="9" t="s">
        <v>373</v>
      </c>
      <c r="D7" s="9" t="s">
        <v>1358</v>
      </c>
      <c r="E7" s="9" t="s">
        <v>1359</v>
      </c>
      <c r="F7" s="9" t="s">
        <v>1360</v>
      </c>
      <c r="G7" s="9" t="s">
        <v>34</v>
      </c>
      <c r="H7" s="9" t="s">
        <v>145</v>
      </c>
      <c r="I7" s="9">
        <v>75</v>
      </c>
      <c r="J7" s="9"/>
    </row>
    <row r="8" spans="1:10">
      <c r="A8" s="9" t="s">
        <v>142</v>
      </c>
      <c r="B8" s="9" t="s">
        <v>187</v>
      </c>
      <c r="C8" s="9" t="s">
        <v>373</v>
      </c>
      <c r="D8" s="9" t="s">
        <v>1361</v>
      </c>
      <c r="E8" s="9" t="s">
        <v>1362</v>
      </c>
      <c r="F8" s="9" t="s">
        <v>1363</v>
      </c>
      <c r="G8" s="9" t="s">
        <v>19</v>
      </c>
      <c r="H8" s="9" t="s">
        <v>145</v>
      </c>
      <c r="I8" s="9">
        <v>100</v>
      </c>
      <c r="J8" s="9"/>
    </row>
    <row r="9" spans="1:10" ht="27.6">
      <c r="A9" s="9" t="s">
        <v>142</v>
      </c>
      <c r="B9" s="9" t="s">
        <v>190</v>
      </c>
      <c r="C9" s="9" t="s">
        <v>373</v>
      </c>
      <c r="D9" s="9" t="s">
        <v>1364</v>
      </c>
      <c r="E9" s="9" t="s">
        <v>1365</v>
      </c>
      <c r="F9" s="9" t="s">
        <v>1366</v>
      </c>
      <c r="G9" s="9" t="s">
        <v>34</v>
      </c>
      <c r="H9" s="9" t="s">
        <v>145</v>
      </c>
      <c r="I9" s="9">
        <v>75</v>
      </c>
      <c r="J9" s="9"/>
    </row>
    <row r="10" spans="1:10">
      <c r="A10" s="9" t="s">
        <v>142</v>
      </c>
      <c r="B10" s="9" t="s">
        <v>190</v>
      </c>
      <c r="C10" s="9" t="s">
        <v>604</v>
      </c>
      <c r="D10" s="9" t="s">
        <v>1367</v>
      </c>
      <c r="E10" s="9" t="s">
        <v>1368</v>
      </c>
      <c r="F10" s="9" t="s">
        <v>1369</v>
      </c>
      <c r="G10" s="9" t="s">
        <v>34</v>
      </c>
      <c r="H10" s="9" t="s">
        <v>145</v>
      </c>
      <c r="I10" s="9">
        <v>75</v>
      </c>
      <c r="J10" s="9"/>
    </row>
    <row r="11" spans="1:10">
      <c r="A11" s="9" t="s">
        <v>142</v>
      </c>
      <c r="B11" s="9" t="s">
        <v>193</v>
      </c>
      <c r="C11" s="9" t="s">
        <v>371</v>
      </c>
      <c r="D11" s="9" t="s">
        <v>1370</v>
      </c>
      <c r="E11" s="9" t="s">
        <v>1371</v>
      </c>
      <c r="F11" s="9" t="s">
        <v>1372</v>
      </c>
      <c r="G11" s="9" t="s">
        <v>34</v>
      </c>
      <c r="H11" s="9" t="s">
        <v>145</v>
      </c>
      <c r="I11" s="9">
        <v>50</v>
      </c>
      <c r="J11" s="9"/>
    </row>
    <row r="12" spans="1:10">
      <c r="A12" s="9" t="s">
        <v>142</v>
      </c>
      <c r="B12" s="9" t="s">
        <v>196</v>
      </c>
      <c r="C12" s="9" t="s">
        <v>371</v>
      </c>
      <c r="D12" s="9" t="s">
        <v>365</v>
      </c>
      <c r="E12" s="9" t="s">
        <v>1373</v>
      </c>
      <c r="F12" s="9" t="s">
        <v>1374</v>
      </c>
      <c r="G12" s="9" t="s">
        <v>24</v>
      </c>
      <c r="H12" s="9" t="s">
        <v>145</v>
      </c>
      <c r="I12" s="9">
        <v>100</v>
      </c>
      <c r="J12" s="9"/>
    </row>
    <row r="13" spans="1:10" ht="27.6">
      <c r="A13" s="9" t="s">
        <v>142</v>
      </c>
      <c r="B13" s="9" t="s">
        <v>199</v>
      </c>
      <c r="C13" s="9" t="s">
        <v>371</v>
      </c>
      <c r="D13" s="9" t="s">
        <v>1375</v>
      </c>
      <c r="E13" s="9" t="s">
        <v>1376</v>
      </c>
      <c r="F13" s="9" t="s">
        <v>638</v>
      </c>
      <c r="G13" s="9" t="s">
        <v>19</v>
      </c>
      <c r="H13" s="9" t="s">
        <v>145</v>
      </c>
      <c r="I13" s="9">
        <v>100</v>
      </c>
      <c r="J13" s="9"/>
    </row>
    <row r="14" spans="1:10" ht="27.6">
      <c r="A14" s="9" t="s">
        <v>142</v>
      </c>
      <c r="B14" s="9" t="s">
        <v>203</v>
      </c>
      <c r="C14" s="9" t="s">
        <v>371</v>
      </c>
      <c r="D14" s="9" t="s">
        <v>1377</v>
      </c>
      <c r="E14" s="9" t="s">
        <v>1378</v>
      </c>
      <c r="F14" s="9" t="s">
        <v>1379</v>
      </c>
      <c r="G14" s="9" t="s">
        <v>19</v>
      </c>
      <c r="H14" s="9" t="s">
        <v>145</v>
      </c>
      <c r="I14" s="9">
        <v>100</v>
      </c>
      <c r="J14" s="9"/>
    </row>
    <row r="15" spans="1:10" ht="27.6">
      <c r="A15" s="9" t="s">
        <v>142</v>
      </c>
      <c r="B15" s="9" t="s">
        <v>207</v>
      </c>
      <c r="C15" s="9" t="s">
        <v>373</v>
      </c>
      <c r="D15" s="9" t="s">
        <v>1380</v>
      </c>
      <c r="E15" s="9" t="s">
        <v>1381</v>
      </c>
      <c r="F15" s="9" t="s">
        <v>1382</v>
      </c>
      <c r="G15" s="9" t="s">
        <v>19</v>
      </c>
      <c r="H15" s="9" t="s">
        <v>145</v>
      </c>
      <c r="I15" s="9">
        <v>125</v>
      </c>
      <c r="J15" s="9"/>
    </row>
    <row r="16" spans="1:10" ht="27.6">
      <c r="A16" s="9" t="s">
        <v>142</v>
      </c>
      <c r="B16" s="9" t="s">
        <v>211</v>
      </c>
      <c r="C16" s="9" t="s">
        <v>371</v>
      </c>
      <c r="D16" s="9" t="s">
        <v>88</v>
      </c>
      <c r="E16" s="9" t="s">
        <v>1383</v>
      </c>
      <c r="F16" s="9" t="s">
        <v>1384</v>
      </c>
      <c r="G16" s="9" t="s">
        <v>34</v>
      </c>
      <c r="H16" s="9" t="s">
        <v>145</v>
      </c>
      <c r="I16" s="9">
        <v>150</v>
      </c>
      <c r="J16" s="9"/>
    </row>
    <row r="17" spans="1:10" ht="27.6">
      <c r="A17" s="9" t="s">
        <v>231</v>
      </c>
      <c r="B17" s="9" t="s">
        <v>229</v>
      </c>
      <c r="C17" s="9" t="s">
        <v>371</v>
      </c>
      <c r="D17" s="9" t="s">
        <v>1385</v>
      </c>
      <c r="E17" s="9" t="s">
        <v>1386</v>
      </c>
      <c r="F17" s="9" t="s">
        <v>1387</v>
      </c>
      <c r="G17" s="9" t="s">
        <v>34</v>
      </c>
      <c r="H17" s="9" t="s">
        <v>145</v>
      </c>
      <c r="I17" s="9">
        <v>125</v>
      </c>
      <c r="J17" s="9"/>
    </row>
    <row r="18" spans="1:10" ht="27.6">
      <c r="A18" s="9" t="s">
        <v>231</v>
      </c>
      <c r="B18" s="9" t="s">
        <v>240</v>
      </c>
      <c r="C18" s="9" t="s">
        <v>371</v>
      </c>
      <c r="D18" s="9" t="s">
        <v>1388</v>
      </c>
      <c r="E18" s="9" t="s">
        <v>1389</v>
      </c>
      <c r="F18" s="9" t="s">
        <v>1390</v>
      </c>
      <c r="G18" s="9" t="s">
        <v>34</v>
      </c>
      <c r="H18" s="9" t="s">
        <v>145</v>
      </c>
      <c r="I18" s="9">
        <v>100</v>
      </c>
      <c r="J18" s="9"/>
    </row>
    <row r="19" spans="1:10" ht="27.6">
      <c r="A19" s="9" t="s">
        <v>231</v>
      </c>
      <c r="B19" s="9" t="s">
        <v>246</v>
      </c>
      <c r="C19" s="9" t="s">
        <v>371</v>
      </c>
      <c r="D19" s="9" t="s">
        <v>1391</v>
      </c>
      <c r="E19" s="9" t="s">
        <v>1392</v>
      </c>
      <c r="F19" s="9" t="s">
        <v>1393</v>
      </c>
      <c r="G19" s="9" t="s">
        <v>34</v>
      </c>
      <c r="H19" s="9" t="s">
        <v>145</v>
      </c>
      <c r="I19" s="9">
        <v>125</v>
      </c>
      <c r="J19" s="9"/>
    </row>
    <row r="20" spans="1:10" ht="27.6">
      <c r="A20" s="9" t="s">
        <v>231</v>
      </c>
      <c r="B20" s="9" t="s">
        <v>253</v>
      </c>
      <c r="C20" s="9" t="s">
        <v>373</v>
      </c>
      <c r="D20" s="9" t="s">
        <v>1394</v>
      </c>
      <c r="E20" s="9" t="s">
        <v>1395</v>
      </c>
      <c r="F20" s="9" t="s">
        <v>1396</v>
      </c>
      <c r="G20" s="9" t="s">
        <v>34</v>
      </c>
      <c r="H20" s="9" t="s">
        <v>145</v>
      </c>
      <c r="I20" s="9">
        <v>150</v>
      </c>
      <c r="J20" s="9"/>
    </row>
    <row r="21" spans="1:10">
      <c r="A21" s="9" t="s">
        <v>267</v>
      </c>
      <c r="B21" s="9" t="s">
        <v>265</v>
      </c>
      <c r="C21" s="9" t="s">
        <v>371</v>
      </c>
      <c r="D21" s="9" t="s">
        <v>1397</v>
      </c>
      <c r="E21" s="9" t="s">
        <v>1398</v>
      </c>
      <c r="F21" s="9" t="s">
        <v>1399</v>
      </c>
      <c r="G21" s="9" t="s">
        <v>34</v>
      </c>
      <c r="H21" s="9" t="s">
        <v>145</v>
      </c>
      <c r="I21" s="9">
        <v>200</v>
      </c>
      <c r="J21" s="9"/>
    </row>
    <row r="22" spans="1:10" ht="27.6">
      <c r="A22" s="9" t="s">
        <v>267</v>
      </c>
      <c r="B22" s="9" t="s">
        <v>278</v>
      </c>
      <c r="C22" s="9" t="s">
        <v>373</v>
      </c>
      <c r="D22" s="9" t="s">
        <v>1400</v>
      </c>
      <c r="E22" s="9" t="s">
        <v>1401</v>
      </c>
      <c r="F22" s="9" t="s">
        <v>1402</v>
      </c>
      <c r="G22" s="9" t="s">
        <v>34</v>
      </c>
      <c r="H22" s="9" t="s">
        <v>145</v>
      </c>
      <c r="I22" s="9">
        <v>175</v>
      </c>
      <c r="J22" s="9"/>
    </row>
    <row r="23" spans="1:10" ht="27.6">
      <c r="A23" s="9" t="s">
        <v>300</v>
      </c>
      <c r="B23" s="9" t="s">
        <v>298</v>
      </c>
      <c r="C23" s="9" t="s">
        <v>371</v>
      </c>
      <c r="D23" s="9" t="s">
        <v>1403</v>
      </c>
      <c r="E23" s="9" t="s">
        <v>1404</v>
      </c>
      <c r="F23" s="9" t="s">
        <v>1405</v>
      </c>
      <c r="G23" s="9" t="s">
        <v>34</v>
      </c>
      <c r="H23" s="9" t="s">
        <v>145</v>
      </c>
      <c r="I23" s="9">
        <v>250</v>
      </c>
      <c r="J23" s="9"/>
    </row>
    <row r="24" spans="1:10" ht="27.6">
      <c r="A24" s="9" t="s">
        <v>300</v>
      </c>
      <c r="B24" s="9" t="s">
        <v>314</v>
      </c>
      <c r="C24" s="9" t="s">
        <v>1406</v>
      </c>
      <c r="D24" s="9" t="s">
        <v>1407</v>
      </c>
      <c r="E24" s="9" t="s">
        <v>1408</v>
      </c>
      <c r="F24" s="9" t="s">
        <v>1409</v>
      </c>
      <c r="G24" s="9" t="s">
        <v>29</v>
      </c>
      <c r="H24" s="9" t="s">
        <v>145</v>
      </c>
      <c r="I24" s="9">
        <v>200</v>
      </c>
      <c r="J24" s="9"/>
    </row>
    <row r="25" spans="1:10" ht="27.6">
      <c r="A25" s="9" t="s">
        <v>329</v>
      </c>
      <c r="B25" s="9" t="s">
        <v>327</v>
      </c>
      <c r="C25" s="9" t="s">
        <v>371</v>
      </c>
      <c r="D25" s="9" t="s">
        <v>1410</v>
      </c>
      <c r="E25" s="9" t="s">
        <v>1411</v>
      </c>
      <c r="F25" s="9" t="s">
        <v>1412</v>
      </c>
      <c r="G25" s="9" t="s">
        <v>34</v>
      </c>
      <c r="H25" s="9" t="s">
        <v>145</v>
      </c>
      <c r="I25" s="9">
        <v>250</v>
      </c>
      <c r="J25" s="9"/>
    </row>
    <row r="26" spans="1:10" ht="27.6">
      <c r="A26" s="9" t="s">
        <v>329</v>
      </c>
      <c r="B26" s="9" t="s">
        <v>344</v>
      </c>
      <c r="C26" s="9" t="s">
        <v>371</v>
      </c>
      <c r="D26" s="9" t="s">
        <v>349</v>
      </c>
      <c r="E26" s="9" t="s">
        <v>1413</v>
      </c>
      <c r="F26" s="9" t="s">
        <v>1414</v>
      </c>
      <c r="G26" s="9" t="s">
        <v>34</v>
      </c>
      <c r="H26" s="9" t="s">
        <v>145</v>
      </c>
      <c r="I26" s="9">
        <v>300</v>
      </c>
      <c r="J26" s="9"/>
    </row>
    <row r="27" spans="1:10" ht="41.4">
      <c r="A27" s="9" t="s">
        <v>156</v>
      </c>
      <c r="B27" s="9" t="s">
        <v>1415</v>
      </c>
      <c r="C27" s="9" t="s">
        <v>1416</v>
      </c>
      <c r="D27" s="9" t="s">
        <v>1417</v>
      </c>
      <c r="E27" s="9" t="s">
        <v>1418</v>
      </c>
      <c r="F27" s="9" t="s">
        <v>1419</v>
      </c>
      <c r="G27" s="9" t="s">
        <v>154</v>
      </c>
      <c r="H27" s="9" t="s">
        <v>145</v>
      </c>
      <c r="I27" s="9">
        <v>200</v>
      </c>
      <c r="J27" s="9" t="s">
        <v>1420</v>
      </c>
    </row>
    <row r="28" spans="1:10" ht="27.6">
      <c r="A28" s="9" t="s">
        <v>156</v>
      </c>
      <c r="B28" s="9" t="s">
        <v>1415</v>
      </c>
      <c r="C28" s="9" t="s">
        <v>403</v>
      </c>
      <c r="D28" s="9" t="s">
        <v>1421</v>
      </c>
      <c r="E28" s="9" t="s">
        <v>1422</v>
      </c>
      <c r="F28" s="9" t="s">
        <v>1423</v>
      </c>
      <c r="G28" s="9" t="s">
        <v>154</v>
      </c>
      <c r="H28" s="9" t="s">
        <v>145</v>
      </c>
      <c r="I28" s="9">
        <v>250</v>
      </c>
      <c r="J28" s="9" t="s">
        <v>1424</v>
      </c>
    </row>
    <row r="29" spans="1:10" ht="27.6">
      <c r="A29" s="9" t="s">
        <v>156</v>
      </c>
      <c r="B29" s="9" t="s">
        <v>1415</v>
      </c>
      <c r="C29" s="9" t="s">
        <v>405</v>
      </c>
      <c r="D29" s="9" t="s">
        <v>1425</v>
      </c>
      <c r="E29" s="9" t="s">
        <v>1426</v>
      </c>
      <c r="F29" s="9" t="s">
        <v>1427</v>
      </c>
      <c r="G29" s="9" t="s">
        <v>154</v>
      </c>
      <c r="H29" s="9" t="s">
        <v>145</v>
      </c>
      <c r="I29" s="9">
        <v>200</v>
      </c>
      <c r="J29" s="9" t="s">
        <v>1428</v>
      </c>
    </row>
    <row r="30" spans="1:10" ht="27.6">
      <c r="A30" s="9" t="s">
        <v>156</v>
      </c>
      <c r="B30" s="9" t="s">
        <v>1415</v>
      </c>
      <c r="C30" s="9" t="s">
        <v>1429</v>
      </c>
      <c r="D30" s="9" t="s">
        <v>1430</v>
      </c>
      <c r="E30" s="9" t="s">
        <v>1431</v>
      </c>
      <c r="F30" s="9" t="s">
        <v>1432</v>
      </c>
      <c r="G30" s="9" t="s">
        <v>154</v>
      </c>
      <c r="H30" s="9" t="s">
        <v>145</v>
      </c>
      <c r="I30" s="9">
        <v>300</v>
      </c>
      <c r="J30" s="9" t="s">
        <v>1433</v>
      </c>
    </row>
    <row r="31" spans="1:10" ht="27.6">
      <c r="A31" s="9" t="s">
        <v>156</v>
      </c>
      <c r="B31" s="9" t="s">
        <v>1434</v>
      </c>
      <c r="C31" s="9" t="s">
        <v>1435</v>
      </c>
      <c r="D31" s="9" t="s">
        <v>1436</v>
      </c>
      <c r="E31" s="9" t="s">
        <v>1437</v>
      </c>
      <c r="F31" s="9" t="s">
        <v>1438</v>
      </c>
      <c r="G31" s="9" t="s">
        <v>154</v>
      </c>
      <c r="H31" s="9" t="s">
        <v>159</v>
      </c>
      <c r="I31" s="9">
        <v>200</v>
      </c>
      <c r="J31" s="9" t="s">
        <v>1439</v>
      </c>
    </row>
    <row r="32" spans="1:10" ht="27.6">
      <c r="A32" s="9" t="s">
        <v>156</v>
      </c>
      <c r="B32" s="9" t="s">
        <v>1434</v>
      </c>
      <c r="C32" s="9" t="s">
        <v>403</v>
      </c>
      <c r="D32" s="9" t="s">
        <v>1440</v>
      </c>
      <c r="E32" s="9" t="s">
        <v>1441</v>
      </c>
      <c r="F32" s="9" t="s">
        <v>1442</v>
      </c>
      <c r="G32" s="9" t="s">
        <v>154</v>
      </c>
      <c r="H32" s="9" t="s">
        <v>159</v>
      </c>
      <c r="I32" s="9">
        <v>250</v>
      </c>
      <c r="J32" s="9" t="s">
        <v>1443</v>
      </c>
    </row>
    <row r="33" spans="1:10" ht="27.6">
      <c r="A33" s="9" t="s">
        <v>156</v>
      </c>
      <c r="B33" s="9" t="s">
        <v>1434</v>
      </c>
      <c r="C33" s="9" t="s">
        <v>1444</v>
      </c>
      <c r="D33" s="9" t="s">
        <v>1445</v>
      </c>
      <c r="E33" s="9" t="s">
        <v>1446</v>
      </c>
      <c r="F33" s="9" t="s">
        <v>1447</v>
      </c>
      <c r="G33" s="9" t="s">
        <v>412</v>
      </c>
      <c r="H33" s="9" t="s">
        <v>159</v>
      </c>
      <c r="I33" s="9">
        <v>300</v>
      </c>
      <c r="J33" s="9" t="s">
        <v>1448</v>
      </c>
    </row>
    <row r="34" spans="1:10" ht="27.6">
      <c r="A34" s="9" t="s">
        <v>156</v>
      </c>
      <c r="B34" s="9" t="s">
        <v>1434</v>
      </c>
      <c r="C34" s="9" t="s">
        <v>1091</v>
      </c>
      <c r="D34" s="9" t="s">
        <v>1449</v>
      </c>
      <c r="E34" s="9" t="s">
        <v>1450</v>
      </c>
      <c r="F34" s="9" t="s">
        <v>1451</v>
      </c>
      <c r="G34" s="9" t="s">
        <v>412</v>
      </c>
      <c r="H34" s="9" t="s">
        <v>159</v>
      </c>
      <c r="I34" s="9">
        <v>350</v>
      </c>
      <c r="J34" s="9" t="s">
        <v>1452</v>
      </c>
    </row>
    <row r="35" spans="1:10" ht="27.6">
      <c r="A35" s="9" t="s">
        <v>156</v>
      </c>
      <c r="B35" s="9" t="s">
        <v>1434</v>
      </c>
      <c r="C35" s="9" t="s">
        <v>1453</v>
      </c>
      <c r="D35" s="9" t="s">
        <v>1454</v>
      </c>
      <c r="E35" s="9" t="s">
        <v>1455</v>
      </c>
      <c r="F35" s="9" t="s">
        <v>1456</v>
      </c>
      <c r="G35" s="9" t="s">
        <v>412</v>
      </c>
      <c r="H35" s="9" t="s">
        <v>159</v>
      </c>
      <c r="I35" s="9">
        <v>350</v>
      </c>
      <c r="J35" s="9" t="s">
        <v>1457</v>
      </c>
    </row>
    <row r="36" spans="1:10" ht="27.6">
      <c r="A36" s="9" t="s">
        <v>156</v>
      </c>
      <c r="B36" s="9" t="s">
        <v>1434</v>
      </c>
      <c r="C36" s="9" t="s">
        <v>1088</v>
      </c>
      <c r="D36" s="9" t="s">
        <v>1458</v>
      </c>
      <c r="E36" s="9" t="s">
        <v>1459</v>
      </c>
      <c r="F36" s="9" t="s">
        <v>1460</v>
      </c>
      <c r="G36" s="9" t="s">
        <v>19</v>
      </c>
      <c r="H36" s="9" t="s">
        <v>159</v>
      </c>
      <c r="I36" s="9">
        <v>350</v>
      </c>
      <c r="J36" s="9" t="s">
        <v>1461</v>
      </c>
    </row>
    <row r="37" spans="1:10" ht="27.6">
      <c r="A37" s="9" t="s">
        <v>156</v>
      </c>
      <c r="B37" s="9" t="s">
        <v>1462</v>
      </c>
      <c r="C37" s="9" t="s">
        <v>1463</v>
      </c>
      <c r="D37" s="9" t="s">
        <v>1464</v>
      </c>
      <c r="E37" s="9" t="s">
        <v>1465</v>
      </c>
      <c r="F37" s="9" t="s">
        <v>1466</v>
      </c>
      <c r="G37" s="9" t="s">
        <v>34</v>
      </c>
      <c r="H37" s="9" t="s">
        <v>159</v>
      </c>
      <c r="I37" s="9">
        <v>300</v>
      </c>
      <c r="J37" s="9" t="s">
        <v>1467</v>
      </c>
    </row>
  </sheetData>
  <mergeCells count="2">
    <mergeCell ref="A1:J1"/>
    <mergeCell ref="A2:J2"/>
  </mergeCells>
  <conditionalFormatting sqref="H5:H30">
    <cfRule type="expression" dxfId="4" priority="1">
      <formula>INDIRECT("RC",FALSE)="Completed"</formula>
    </cfRule>
    <cfRule type="expression" dxfId="3" priority="2">
      <formula>INDIRECT("RC",FALSE)="Done"</formula>
    </cfRule>
    <cfRule type="expression" dxfId="2" priority="3">
      <formula>INDIRECT("RC",FALSE)="In Progress"</formula>
    </cfRule>
  </conditionalFormatting>
  <dataValidations count="1">
    <dataValidation type="list" sqref="H5:H30" xr:uid="{00000000-0002-0000-0C00-000000000000}">
      <formula1>"Not Started,In Progress,Done,Paused"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sqref="A1:J1"/>
    </sheetView>
  </sheetViews>
  <sheetFormatPr defaultRowHeight="13.8"/>
  <cols>
    <col min="1" max="1" width="18" customWidth="1"/>
    <col min="2" max="2" width="16" customWidth="1"/>
    <col min="3" max="4" width="20" customWidth="1"/>
    <col min="5" max="7" width="34" customWidth="1"/>
    <col min="8" max="10" width="15" customWidth="1"/>
  </cols>
  <sheetData>
    <row r="1" spans="1:10" ht="17.399999999999999">
      <c r="A1" s="76" t="s">
        <v>1468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4.4">
      <c r="A2" s="77" t="s">
        <v>1469</v>
      </c>
      <c r="B2" s="77"/>
      <c r="C2" s="77"/>
      <c r="D2" s="77"/>
      <c r="E2" s="77"/>
      <c r="F2" s="77"/>
      <c r="G2" s="77"/>
      <c r="H2" s="77"/>
      <c r="I2" s="77"/>
      <c r="J2" s="77"/>
    </row>
    <row r="3" spans="1:10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43" t="s">
        <v>1350</v>
      </c>
      <c r="B4" s="43" t="s">
        <v>136</v>
      </c>
      <c r="C4" s="43" t="s">
        <v>177</v>
      </c>
      <c r="D4" s="43" t="s">
        <v>361</v>
      </c>
      <c r="E4" s="43" t="s">
        <v>561</v>
      </c>
      <c r="F4" s="43" t="s">
        <v>563</v>
      </c>
      <c r="G4" s="43" t="s">
        <v>1470</v>
      </c>
      <c r="H4" s="43" t="s">
        <v>138</v>
      </c>
      <c r="I4" s="43" t="s">
        <v>139</v>
      </c>
      <c r="J4" s="43" t="s">
        <v>179</v>
      </c>
    </row>
    <row r="5" spans="1:10" ht="41.4">
      <c r="A5" s="21" t="s">
        <v>1471</v>
      </c>
      <c r="B5" s="21" t="s">
        <v>166</v>
      </c>
      <c r="C5" s="21" t="s">
        <v>1472</v>
      </c>
      <c r="D5" s="21" t="s">
        <v>1473</v>
      </c>
      <c r="E5" s="21" t="s">
        <v>1474</v>
      </c>
      <c r="F5" s="21" t="s">
        <v>1475</v>
      </c>
      <c r="G5" s="21" t="s">
        <v>1476</v>
      </c>
      <c r="H5" s="21" t="s">
        <v>152</v>
      </c>
      <c r="I5" s="21" t="s">
        <v>145</v>
      </c>
      <c r="J5" s="21">
        <v>300</v>
      </c>
    </row>
    <row r="6" spans="1:10" ht="41.4">
      <c r="A6" s="21" t="s">
        <v>1477</v>
      </c>
      <c r="B6" s="21" t="s">
        <v>409</v>
      </c>
      <c r="C6" s="21" t="s">
        <v>1478</v>
      </c>
      <c r="D6" s="21" t="s">
        <v>1479</v>
      </c>
      <c r="E6" s="21" t="s">
        <v>1480</v>
      </c>
      <c r="F6" s="21" t="s">
        <v>1481</v>
      </c>
      <c r="G6" s="21" t="s">
        <v>1482</v>
      </c>
      <c r="H6" s="21" t="s">
        <v>152</v>
      </c>
      <c r="I6" s="21" t="s">
        <v>145</v>
      </c>
      <c r="J6" s="21">
        <v>250</v>
      </c>
    </row>
    <row r="7" spans="1:10" ht="27.6">
      <c r="A7" s="21" t="s">
        <v>1483</v>
      </c>
      <c r="B7" s="21" t="s">
        <v>409</v>
      </c>
      <c r="C7" s="21" t="s">
        <v>1454</v>
      </c>
      <c r="D7" s="21" t="s">
        <v>1484</v>
      </c>
      <c r="E7" s="21" t="s">
        <v>1485</v>
      </c>
      <c r="F7" s="21" t="s">
        <v>1486</v>
      </c>
      <c r="G7" s="21" t="s">
        <v>1487</v>
      </c>
      <c r="H7" s="21" t="s">
        <v>152</v>
      </c>
      <c r="I7" s="21" t="s">
        <v>145</v>
      </c>
      <c r="J7" s="21">
        <v>300</v>
      </c>
    </row>
    <row r="8" spans="1:10" ht="41.4">
      <c r="A8" s="21" t="s">
        <v>1488</v>
      </c>
      <c r="B8" s="21" t="s">
        <v>412</v>
      </c>
      <c r="C8" s="21" t="s">
        <v>1489</v>
      </c>
      <c r="D8" s="21" t="s">
        <v>1490</v>
      </c>
      <c r="E8" s="21" t="s">
        <v>1491</v>
      </c>
      <c r="F8" s="21" t="s">
        <v>1492</v>
      </c>
      <c r="G8" s="21" t="s">
        <v>1493</v>
      </c>
      <c r="H8" s="21" t="s">
        <v>152</v>
      </c>
      <c r="I8" s="21" t="s">
        <v>145</v>
      </c>
      <c r="J8" s="21">
        <v>350</v>
      </c>
    </row>
    <row r="9" spans="1:10" ht="41.4">
      <c r="A9" s="21" t="s">
        <v>1494</v>
      </c>
      <c r="B9" s="21" t="s">
        <v>412</v>
      </c>
      <c r="C9" s="21" t="s">
        <v>1091</v>
      </c>
      <c r="D9" s="21" t="s">
        <v>1449</v>
      </c>
      <c r="E9" s="21" t="s">
        <v>1495</v>
      </c>
      <c r="F9" s="21" t="s">
        <v>1496</v>
      </c>
      <c r="G9" s="21" t="s">
        <v>1497</v>
      </c>
      <c r="H9" s="21" t="s">
        <v>152</v>
      </c>
      <c r="I9" s="21" t="s">
        <v>145</v>
      </c>
      <c r="J9" s="21">
        <v>350</v>
      </c>
    </row>
    <row r="10" spans="1:10" ht="27.6">
      <c r="A10" s="21" t="s">
        <v>1498</v>
      </c>
      <c r="B10" s="21" t="s">
        <v>412</v>
      </c>
      <c r="C10" s="21" t="s">
        <v>1499</v>
      </c>
      <c r="D10" s="21" t="s">
        <v>1500</v>
      </c>
      <c r="E10" s="21" t="s">
        <v>1501</v>
      </c>
      <c r="F10" s="21" t="s">
        <v>1502</v>
      </c>
      <c r="G10" s="21" t="s">
        <v>1503</v>
      </c>
      <c r="H10" s="21" t="s">
        <v>152</v>
      </c>
      <c r="I10" s="21" t="s">
        <v>145</v>
      </c>
      <c r="J10" s="21">
        <v>350</v>
      </c>
    </row>
    <row r="11" spans="1:10" ht="27.6">
      <c r="A11" s="21" t="s">
        <v>1504</v>
      </c>
      <c r="B11" s="21" t="s">
        <v>1505</v>
      </c>
      <c r="C11" s="21" t="s">
        <v>88</v>
      </c>
      <c r="D11" s="21" t="s">
        <v>1506</v>
      </c>
      <c r="E11" s="21" t="s">
        <v>1507</v>
      </c>
      <c r="F11" s="21" t="s">
        <v>1508</v>
      </c>
      <c r="G11" s="21" t="s">
        <v>1509</v>
      </c>
      <c r="H11" s="21" t="s">
        <v>435</v>
      </c>
      <c r="I11" s="21" t="s">
        <v>145</v>
      </c>
      <c r="J11" s="21">
        <v>300</v>
      </c>
    </row>
    <row r="12" spans="1:10" ht="27.6">
      <c r="A12" s="21" t="s">
        <v>1510</v>
      </c>
      <c r="B12" s="21" t="s">
        <v>154</v>
      </c>
      <c r="C12" s="21" t="s">
        <v>1511</v>
      </c>
      <c r="D12" s="21" t="s">
        <v>1512</v>
      </c>
      <c r="E12" s="21" t="s">
        <v>1513</v>
      </c>
      <c r="F12" s="21" t="s">
        <v>1514</v>
      </c>
      <c r="G12" s="21" t="s">
        <v>1515</v>
      </c>
      <c r="H12" s="21" t="s">
        <v>158</v>
      </c>
      <c r="I12" s="21" t="s">
        <v>159</v>
      </c>
      <c r="J12" s="21">
        <v>400</v>
      </c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  <c r="J13" s="21"/>
    </row>
  </sheetData>
  <mergeCells count="2">
    <mergeCell ref="A1:J1"/>
    <mergeCell ref="A2:J2"/>
  </mergeCells>
  <conditionalFormatting sqref="I5:I13">
    <cfRule type="expression" dxfId="1" priority="1">
      <formula>I5="Done"</formula>
    </cfRule>
    <cfRule type="expression" dxfId="0" priority="2">
      <formula>I5="In Progress"</formula>
    </cfRule>
  </conditionalFormatting>
  <dataValidations count="1">
    <dataValidation type="list" sqref="I5:I13" xr:uid="{00000000-0002-0000-0D00-000000000000}">
      <formula1>"Planned,Not Started,In Progress,Done"</formula1>
    </dataValidation>
  </dataValidation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Roadmap</vt:lpstr>
      <vt:lpstr>Skill Matrix</vt:lpstr>
      <vt:lpstr>Certifications</vt:lpstr>
      <vt:lpstr>Projects</vt:lpstr>
      <vt:lpstr>Weekly Tracker</vt:lpstr>
      <vt:lpstr>Lists</vt:lpstr>
      <vt:lpstr>12-Month Starter</vt:lpstr>
      <vt:lpstr>GitHub Portfolio</vt:lpstr>
      <vt:lpstr>Resources</vt:lpstr>
      <vt:lpstr>Microsoft Track</vt:lpstr>
      <vt:lpstr>My Certifications</vt:lpstr>
      <vt:lpstr>Scripting &amp; Dev</vt:lpstr>
      <vt:lpstr>Beyond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2026-10-08T11:47:04Z</dcterms:created>
  <dcterms:modified xsi:type="dcterms:W3CDTF">2026-10-08T11:47:12Z</dcterms:modified>
</cp:coreProperties>
</file>